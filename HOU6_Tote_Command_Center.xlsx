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uphaym\Documents\Projects\HOU6 Tote Command Center\"/>
    </mc:Choice>
  </mc:AlternateContent>
  <xr:revisionPtr revIDLastSave="0" documentId="8_{352A66E5-0F35-4CF9-8E8C-9DBBE1B242AA}" xr6:coauthVersionLast="47" xr6:coauthVersionMax="47" xr10:uidLastSave="{00000000-0000-0000-0000-000000000000}"/>
  <bookViews>
    <workbookView xWindow="1170" yWindow="1170" windowWidth="21600" windowHeight="11295" firstSheet="2" activeTab="4" xr2:uid="{00000000-000D-0000-FFFF-FFFF00000000}"/>
  </bookViews>
  <sheets>
    <sheet name="Instructions" sheetId="5" r:id="rId1"/>
    <sheet name="Tote Count Entry" sheetId="1" r:id="rId2"/>
    <sheet name="Quick View" sheetId="6" r:id="rId3"/>
    <sheet name="Building Overview" sheetId="2" r:id="rId4"/>
    <sheet name="Demand Calculator" sheetId="3" r:id="rId5"/>
    <sheet name="Historical Dat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6" i="1" l="1"/>
  <c r="T76" i="1"/>
  <c r="U76" i="1"/>
  <c r="V76" i="1"/>
  <c r="W76" i="1"/>
  <c r="X76" i="1"/>
  <c r="Y76" i="1"/>
  <c r="Z76" i="1"/>
  <c r="AB76" i="1"/>
  <c r="AC76" i="1"/>
  <c r="AD76" i="1"/>
  <c r="AE76" i="1"/>
  <c r="S108" i="1"/>
  <c r="T108" i="1"/>
  <c r="U108" i="1"/>
  <c r="V108" i="1"/>
  <c r="W108" i="1"/>
  <c r="X108" i="1"/>
  <c r="Y108" i="1"/>
  <c r="Z108" i="1"/>
  <c r="AB108" i="1"/>
  <c r="AC108" i="1"/>
  <c r="AD108" i="1"/>
  <c r="AE108" i="1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U7" i="4"/>
  <c r="T7" i="4"/>
  <c r="S7" i="4"/>
  <c r="R7" i="4"/>
  <c r="Q7" i="4"/>
  <c r="P7" i="4"/>
  <c r="O7" i="4"/>
  <c r="N7" i="4"/>
  <c r="M7" i="4"/>
  <c r="L7" i="4"/>
  <c r="K7" i="4"/>
  <c r="J7" i="4"/>
  <c r="A7" i="4"/>
  <c r="B7" i="4" s="1"/>
  <c r="C2" i="1"/>
  <c r="I22" i="2"/>
  <c r="I21" i="2"/>
  <c r="C39" i="3"/>
  <c r="D39" i="3" s="1"/>
  <c r="E39" i="3" s="1"/>
  <c r="E22" i="2" s="1"/>
  <c r="C38" i="3"/>
  <c r="D38" i="3" s="1"/>
  <c r="E38" i="3" s="1"/>
  <c r="E21" i="2" s="1"/>
  <c r="C37" i="3"/>
  <c r="C36" i="3"/>
  <c r="C35" i="3"/>
  <c r="D35" i="3" s="1"/>
  <c r="I7" i="2" s="1"/>
  <c r="D37" i="3"/>
  <c r="E37" i="3" s="1"/>
  <c r="E17" i="2" s="1"/>
  <c r="D36" i="3"/>
  <c r="E36" i="3" s="1"/>
  <c r="E12" i="2" s="1"/>
  <c r="C9" i="6"/>
  <c r="B40" i="3"/>
  <c r="B32" i="3"/>
  <c r="B31" i="3"/>
  <c r="B30" i="3"/>
  <c r="B29" i="3"/>
  <c r="I12" i="2" l="1"/>
  <c r="I17" i="2"/>
  <c r="A10" i="4"/>
  <c r="B10" i="4" s="1"/>
  <c r="A8" i="4"/>
  <c r="B8" i="4" s="1"/>
  <c r="A11" i="4"/>
  <c r="B11" i="4" s="1"/>
  <c r="A9" i="4"/>
  <c r="B9" i="4" s="1"/>
  <c r="E35" i="3"/>
  <c r="D40" i="3"/>
  <c r="E20" i="2"/>
  <c r="E15" i="2"/>
  <c r="A2" i="4"/>
  <c r="B2" i="4" s="1"/>
  <c r="I2" i="4"/>
  <c r="Q2" i="4"/>
  <c r="R2" i="4"/>
  <c r="S2" i="4"/>
  <c r="J3" i="4"/>
  <c r="R3" i="4"/>
  <c r="M4" i="4"/>
  <c r="R5" i="4"/>
  <c r="S5" i="4"/>
  <c r="B17" i="3"/>
  <c r="B9" i="3"/>
  <c r="B10" i="3" s="1"/>
  <c r="E5" i="6" s="1"/>
  <c r="AC173" i="1"/>
  <c r="AB173" i="1"/>
  <c r="I9" i="1" s="1"/>
  <c r="I6" i="4" s="1"/>
  <c r="AE172" i="1"/>
  <c r="AE173" i="1" s="1"/>
  <c r="AD172" i="1"/>
  <c r="U6" i="4" s="1"/>
  <c r="AC172" i="1"/>
  <c r="R6" i="4" s="1"/>
  <c r="AB172" i="1"/>
  <c r="S6" i="4" s="1"/>
  <c r="Z172" i="1"/>
  <c r="Z173" i="1" s="1"/>
  <c r="Y172" i="1"/>
  <c r="Y173" i="1" s="1"/>
  <c r="X172" i="1"/>
  <c r="X173" i="1" s="1"/>
  <c r="W172" i="1"/>
  <c r="W173" i="1" s="1"/>
  <c r="V172" i="1"/>
  <c r="V173" i="1" s="1"/>
  <c r="U172" i="1"/>
  <c r="O6" i="4" s="1"/>
  <c r="T172" i="1"/>
  <c r="T173" i="1" s="1"/>
  <c r="S172" i="1"/>
  <c r="S173" i="1" s="1"/>
  <c r="AB141" i="1"/>
  <c r="X141" i="1"/>
  <c r="AE140" i="1"/>
  <c r="AE141" i="1" s="1"/>
  <c r="AD140" i="1"/>
  <c r="AD141" i="1" s="1"/>
  <c r="AC140" i="1"/>
  <c r="AC141" i="1" s="1"/>
  <c r="AB140" i="1"/>
  <c r="Z140" i="1"/>
  <c r="Z141" i="1" s="1"/>
  <c r="Y140" i="1"/>
  <c r="Q5" i="4" s="1"/>
  <c r="X140" i="1"/>
  <c r="L5" i="4" s="1"/>
  <c r="W140" i="1"/>
  <c r="W141" i="1" s="1"/>
  <c r="V140" i="1"/>
  <c r="V141" i="1" s="1"/>
  <c r="U140" i="1"/>
  <c r="U141" i="1" s="1"/>
  <c r="T140" i="1"/>
  <c r="J5" i="4" s="1"/>
  <c r="S140" i="1"/>
  <c r="S141" i="1" s="1"/>
  <c r="W109" i="1"/>
  <c r="T4" i="4"/>
  <c r="AD109" i="1"/>
  <c r="AC109" i="1"/>
  <c r="S4" i="4"/>
  <c r="Z109" i="1"/>
  <c r="Y109" i="1"/>
  <c r="H7" i="1" s="1"/>
  <c r="C14" i="2" s="1"/>
  <c r="D14" i="2" s="1"/>
  <c r="X109" i="1"/>
  <c r="V109" i="1"/>
  <c r="U109" i="1"/>
  <c r="T109" i="1"/>
  <c r="K4" i="4"/>
  <c r="T3" i="4"/>
  <c r="U3" i="4"/>
  <c r="AC77" i="1"/>
  <c r="AB77" i="1"/>
  <c r="P3" i="4"/>
  <c r="Y77" i="1"/>
  <c r="X77" i="1"/>
  <c r="M3" i="4"/>
  <c r="V77" i="1"/>
  <c r="U77" i="1"/>
  <c r="T77" i="1"/>
  <c r="S77" i="1"/>
  <c r="AC44" i="1"/>
  <c r="AB44" i="1"/>
  <c r="I5" i="1" s="1"/>
  <c r="Y44" i="1"/>
  <c r="AE43" i="1"/>
  <c r="AE44" i="1" s="1"/>
  <c r="AD43" i="1"/>
  <c r="U2" i="4" s="1"/>
  <c r="AC43" i="1"/>
  <c r="AB43" i="1"/>
  <c r="Z43" i="1"/>
  <c r="Z44" i="1" s="1"/>
  <c r="Y43" i="1"/>
  <c r="X43" i="1"/>
  <c r="X44" i="1" s="1"/>
  <c r="W43" i="1"/>
  <c r="W44" i="1" s="1"/>
  <c r="V43" i="1"/>
  <c r="N2" i="4" s="1"/>
  <c r="U43" i="1"/>
  <c r="U44" i="1" s="1"/>
  <c r="T43" i="1"/>
  <c r="T44" i="1" s="1"/>
  <c r="S43" i="1"/>
  <c r="K2" i="4" s="1"/>
  <c r="E40" i="3" l="1"/>
  <c r="E7" i="2"/>
  <c r="E10" i="2" s="1"/>
  <c r="C10" i="6" s="1"/>
  <c r="T6" i="4"/>
  <c r="T141" i="1"/>
  <c r="C11" i="6"/>
  <c r="C12" i="6"/>
  <c r="I24" i="2"/>
  <c r="V44" i="1"/>
  <c r="F5" i="1" s="1"/>
  <c r="E2" i="4" s="1"/>
  <c r="F6" i="1"/>
  <c r="C7" i="2" s="1"/>
  <c r="D7" i="2" s="1"/>
  <c r="G8" i="1"/>
  <c r="C18" i="2" s="1"/>
  <c r="D18" i="2" s="1"/>
  <c r="M5" i="4"/>
  <c r="O5" i="4"/>
  <c r="P6" i="4"/>
  <c r="L6" i="4"/>
  <c r="F17" i="2"/>
  <c r="G17" i="2" s="1"/>
  <c r="E8" i="1"/>
  <c r="R4" i="4"/>
  <c r="G7" i="1"/>
  <c r="C13" i="2" s="1"/>
  <c r="D13" i="2" s="1"/>
  <c r="I6" i="1"/>
  <c r="I3" i="4" s="1"/>
  <c r="AD173" i="1"/>
  <c r="J9" i="1" s="1"/>
  <c r="H9" i="1"/>
  <c r="G6" i="4" s="1"/>
  <c r="Q6" i="4"/>
  <c r="G9" i="1"/>
  <c r="F6" i="4"/>
  <c r="M6" i="4"/>
  <c r="N6" i="4"/>
  <c r="U173" i="1"/>
  <c r="F9" i="1" s="1"/>
  <c r="C22" i="2" s="1"/>
  <c r="J6" i="4"/>
  <c r="K6" i="4"/>
  <c r="J8" i="1"/>
  <c r="H5" i="4" s="1"/>
  <c r="T5" i="4"/>
  <c r="U5" i="4"/>
  <c r="P5" i="4"/>
  <c r="Y141" i="1"/>
  <c r="H8" i="1" s="1"/>
  <c r="C19" i="2" s="1"/>
  <c r="D19" i="2" s="1"/>
  <c r="F8" i="1"/>
  <c r="C17" i="2" s="1"/>
  <c r="N5" i="4"/>
  <c r="E5" i="4"/>
  <c r="K5" i="4"/>
  <c r="AE109" i="1"/>
  <c r="J7" i="1" s="1"/>
  <c r="U4" i="4"/>
  <c r="AB109" i="1"/>
  <c r="I7" i="1" s="1"/>
  <c r="G4" i="4"/>
  <c r="P4" i="4"/>
  <c r="Q4" i="4"/>
  <c r="L4" i="4"/>
  <c r="N4" i="4"/>
  <c r="F7" i="1"/>
  <c r="C12" i="2" s="1"/>
  <c r="O4" i="4"/>
  <c r="S109" i="1"/>
  <c r="E7" i="1" s="1"/>
  <c r="J4" i="4"/>
  <c r="AE77" i="1"/>
  <c r="AD77" i="1"/>
  <c r="S3" i="4"/>
  <c r="Z77" i="1"/>
  <c r="H6" i="1" s="1"/>
  <c r="Q3" i="4"/>
  <c r="L3" i="4"/>
  <c r="W77" i="1"/>
  <c r="G6" i="1" s="1"/>
  <c r="N3" i="4"/>
  <c r="O3" i="4"/>
  <c r="K3" i="4"/>
  <c r="E6" i="1"/>
  <c r="T2" i="4"/>
  <c r="AD44" i="1"/>
  <c r="J5" i="1" s="1"/>
  <c r="H5" i="1"/>
  <c r="G2" i="4" s="1"/>
  <c r="P2" i="4"/>
  <c r="L2" i="4"/>
  <c r="G5" i="1"/>
  <c r="F2" i="4" s="1"/>
  <c r="M2" i="4"/>
  <c r="O2" i="4"/>
  <c r="J2" i="4"/>
  <c r="S44" i="1"/>
  <c r="E5" i="1" s="1"/>
  <c r="B12" i="3"/>
  <c r="A4" i="4"/>
  <c r="B4" i="4" s="1"/>
  <c r="A6" i="4"/>
  <c r="B6" i="4" s="1"/>
  <c r="A3" i="4"/>
  <c r="B3" i="4" s="1"/>
  <c r="A5" i="4"/>
  <c r="B5" i="4" s="1"/>
  <c r="I8" i="1"/>
  <c r="I5" i="4" s="1"/>
  <c r="E9" i="1"/>
  <c r="B11" i="3"/>
  <c r="F5" i="4" l="1"/>
  <c r="F7" i="2"/>
  <c r="G7" i="2" s="1"/>
  <c r="E3" i="4"/>
  <c r="J7" i="2"/>
  <c r="K7" i="2"/>
  <c r="L7" i="2" s="1"/>
  <c r="E24" i="2"/>
  <c r="E23" i="2"/>
  <c r="D5" i="1"/>
  <c r="E4" i="4"/>
  <c r="J22" i="2"/>
  <c r="D22" i="2"/>
  <c r="K22" i="2"/>
  <c r="L22" i="2" s="1"/>
  <c r="F22" i="2"/>
  <c r="G22" i="2" s="1"/>
  <c r="D6" i="4"/>
  <c r="C21" i="2"/>
  <c r="J17" i="2"/>
  <c r="D17" i="2"/>
  <c r="K17" i="2"/>
  <c r="L17" i="2" s="1"/>
  <c r="D5" i="4"/>
  <c r="C16" i="2"/>
  <c r="D4" i="4"/>
  <c r="C11" i="2"/>
  <c r="D12" i="2"/>
  <c r="K12" i="2"/>
  <c r="L12" i="2" s="1"/>
  <c r="J12" i="2"/>
  <c r="F4" i="4"/>
  <c r="F12" i="2"/>
  <c r="G12" i="2" s="1"/>
  <c r="C9" i="2"/>
  <c r="D9" i="2" s="1"/>
  <c r="G3" i="4"/>
  <c r="D3" i="4"/>
  <c r="C6" i="2"/>
  <c r="G10" i="1"/>
  <c r="F7" i="4" s="1"/>
  <c r="C8" i="2"/>
  <c r="D8" i="2" s="1"/>
  <c r="D6" i="1"/>
  <c r="C6" i="1" s="1"/>
  <c r="F10" i="1"/>
  <c r="E7" i="4" s="1"/>
  <c r="D2" i="4"/>
  <c r="C4" i="2"/>
  <c r="H6" i="4"/>
  <c r="E6" i="4"/>
  <c r="G5" i="4"/>
  <c r="H4" i="4"/>
  <c r="I4" i="4"/>
  <c r="J6" i="1"/>
  <c r="J10" i="1" s="1"/>
  <c r="H3" i="4"/>
  <c r="H10" i="1"/>
  <c r="G7" i="4" s="1"/>
  <c r="F3" i="4"/>
  <c r="H2" i="4"/>
  <c r="D9" i="1"/>
  <c r="C9" i="1" s="1"/>
  <c r="I10" i="1"/>
  <c r="D7" i="1"/>
  <c r="C7" i="1" s="1"/>
  <c r="C5" i="1"/>
  <c r="E10" i="1"/>
  <c r="D7" i="4" s="1"/>
  <c r="D8" i="1"/>
  <c r="C8" i="1" s="1"/>
  <c r="M21" i="2" l="1"/>
  <c r="C23" i="2"/>
  <c r="C20" i="2"/>
  <c r="M16" i="2"/>
  <c r="M11" i="2"/>
  <c r="C15" i="2"/>
  <c r="B22" i="3"/>
  <c r="I7" i="4"/>
  <c r="D5" i="6"/>
  <c r="B23" i="3"/>
  <c r="H7" i="4"/>
  <c r="C5" i="6"/>
  <c r="M6" i="2"/>
  <c r="C10" i="2"/>
  <c r="B9" i="6"/>
  <c r="F4" i="2"/>
  <c r="B36" i="2"/>
  <c r="F23" i="2"/>
  <c r="C13" i="6"/>
  <c r="D21" i="2"/>
  <c r="K21" i="2"/>
  <c r="L21" i="2" s="1"/>
  <c r="J21" i="2"/>
  <c r="F21" i="2"/>
  <c r="G21" i="2" s="1"/>
  <c r="L16" i="2"/>
  <c r="F16" i="2"/>
  <c r="G16" i="2" s="1"/>
  <c r="D16" i="2"/>
  <c r="F11" i="2"/>
  <c r="G11" i="2" s="1"/>
  <c r="D11" i="2"/>
  <c r="L11" i="2"/>
  <c r="L6" i="2"/>
  <c r="F6" i="2"/>
  <c r="D6" i="2"/>
  <c r="C24" i="2"/>
  <c r="D24" i="2" s="1"/>
  <c r="D4" i="2"/>
  <c r="C10" i="1"/>
  <c r="D10" i="1"/>
  <c r="B5" i="6" s="1"/>
  <c r="B13" i="6" l="1"/>
  <c r="D23" i="2"/>
  <c r="B12" i="6"/>
  <c r="D12" i="6" s="1"/>
  <c r="E12" i="6" s="1"/>
  <c r="D20" i="2"/>
  <c r="F20" i="2"/>
  <c r="B11" i="6"/>
  <c r="D11" i="6" s="1"/>
  <c r="E11" i="6" s="1"/>
  <c r="D15" i="2"/>
  <c r="F15" i="2"/>
  <c r="D10" i="2"/>
  <c r="B10" i="6"/>
  <c r="D10" i="6" s="1"/>
  <c r="E10" i="6" s="1"/>
  <c r="F10" i="2"/>
  <c r="B20" i="3"/>
  <c r="A5" i="6"/>
  <c r="D9" i="6"/>
  <c r="E9" i="6" s="1"/>
  <c r="F24" i="2"/>
  <c r="G24" i="2" s="1"/>
  <c r="F14" i="6" s="1"/>
  <c r="B25" i="3"/>
  <c r="B26" i="3" s="1"/>
  <c r="F5" i="6" s="1"/>
  <c r="G4" i="2"/>
  <c r="F9" i="6" s="1"/>
  <c r="D13" i="6"/>
  <c r="E13" i="6" s="1"/>
  <c r="C14" i="6"/>
  <c r="B27" i="6"/>
  <c r="G23" i="2"/>
  <c r="F13" i="6" s="1"/>
  <c r="K24" i="2"/>
  <c r="G6" i="2"/>
  <c r="B21" i="3"/>
  <c r="B24" i="3"/>
  <c r="B33" i="2" l="1"/>
  <c r="G20" i="2"/>
  <c r="F12" i="6" s="1"/>
  <c r="B32" i="2"/>
  <c r="G15" i="2"/>
  <c r="F11" i="6" s="1"/>
  <c r="C33" i="2"/>
  <c r="C32" i="2"/>
  <c r="B14" i="6"/>
  <c r="G10" i="2"/>
  <c r="F10" i="6" s="1"/>
  <c r="B26" i="6"/>
  <c r="D14" i="6"/>
  <c r="E14" i="6" s="1"/>
  <c r="E33" i="2" l="1"/>
  <c r="D33" i="2"/>
  <c r="C19" i="6" s="1"/>
  <c r="B25" i="6"/>
  <c r="B19" i="6"/>
  <c r="E32" i="2"/>
  <c r="D36" i="2"/>
  <c r="F36" i="2"/>
  <c r="G36" i="2" s="1"/>
  <c r="D32" i="2"/>
  <c r="C18" i="6" s="1"/>
  <c r="B18" i="6"/>
  <c r="B20" i="6" s="1"/>
  <c r="B24" i="6"/>
  <c r="C20" i="6" l="1"/>
  <c r="D18" i="6"/>
  <c r="F32" i="2"/>
  <c r="G32" i="2" s="1"/>
  <c r="E18" i="6" s="1"/>
  <c r="D19" i="6"/>
  <c r="F33" i="2"/>
  <c r="G33" i="2" s="1"/>
  <c r="E19" i="6" s="1"/>
  <c r="D20" i="6" l="1"/>
  <c r="E20" i="6" s="1"/>
  <c r="B28" i="6" l="1"/>
</calcChain>
</file>

<file path=xl/sharedStrings.xml><?xml version="1.0" encoding="utf-8"?>
<sst xmlns="http://schemas.openxmlformats.org/spreadsheetml/2006/main" count="542" uniqueCount="312">
  <si>
    <t>HOU6</t>
  </si>
  <si>
    <t>Tote Count for HOU6!</t>
  </si>
  <si>
    <t>Floor</t>
  </si>
  <si>
    <t>Total Totes in Facility</t>
  </si>
  <si>
    <t>Total Usable (Cln + Vir D)</t>
  </si>
  <si>
    <t>EAST/IB</t>
  </si>
  <si>
    <t>WEST/Trans Ship</t>
  </si>
  <si>
    <t>North/Pack</t>
  </si>
  <si>
    <t>South AFE/Dock</t>
  </si>
  <si>
    <t>Virtually Dirty</t>
  </si>
  <si>
    <t>Damaged Totes</t>
  </si>
  <si>
    <t>1st Floor</t>
  </si>
  <si>
    <t>East</t>
  </si>
  <si>
    <t>Transhipment</t>
  </si>
  <si>
    <t>PACK</t>
  </si>
  <si>
    <t>AFE/Tote Wash</t>
  </si>
  <si>
    <t>Virtually Dirty Totes</t>
  </si>
  <si>
    <t>1</t>
  </si>
  <si>
    <t>2</t>
  </si>
  <si>
    <t>3</t>
  </si>
  <si>
    <t>4</t>
  </si>
  <si>
    <t>First Floor</t>
  </si>
  <si>
    <t>S</t>
  </si>
  <si>
    <t>P</t>
  </si>
  <si>
    <t>1st</t>
  </si>
  <si>
    <t>2nd Floor</t>
  </si>
  <si>
    <t>West</t>
  </si>
  <si>
    <t>North</t>
  </si>
  <si>
    <t>South</t>
  </si>
  <si>
    <t>Second Floor</t>
  </si>
  <si>
    <t>2nd</t>
  </si>
  <si>
    <t>3rd Floor</t>
  </si>
  <si>
    <t>Third Floor</t>
  </si>
  <si>
    <t>3rd</t>
  </si>
  <si>
    <t>4th Floor</t>
  </si>
  <si>
    <t>Fourth Floor</t>
  </si>
  <si>
    <t>4th</t>
  </si>
  <si>
    <t>5th Floor</t>
  </si>
  <si>
    <t>Fifth Floor</t>
  </si>
  <si>
    <t>5th</t>
  </si>
  <si>
    <t>Building Total</t>
  </si>
  <si>
    <t>HOU6 BUILDING OVERVIEW</t>
  </si>
  <si>
    <t>Auto-populated from Tote Count Entry + Demand Calculator</t>
  </si>
  <si>
    <t>EAST</t>
  </si>
  <si>
    <t>Damaged</t>
  </si>
  <si>
    <t>Pallets Equiv</t>
  </si>
  <si>
    <t>Hrs Sustainable</t>
  </si>
  <si>
    <t>Totes Needed (Shift)</t>
  </si>
  <si>
    <t>Surplus / Deficit</t>
  </si>
  <si>
    <t>Prescription</t>
  </si>
  <si>
    <t>BUILDING TOTAL</t>
  </si>
  <si>
    <t>HOU6 TOTE DEMAND CALCULATOR</t>
  </si>
  <si>
    <t>Enter values in yellow cells. Results flow to Building Overview.</t>
  </si>
  <si>
    <t>VARIABLE INPUTS</t>
  </si>
  <si>
    <t>FORMULA BREAKDOWN</t>
  </si>
  <si>
    <t>Number of Active Pickers</t>
  </si>
  <si>
    <t>Totes/Hr</t>
  </si>
  <si>
    <t>Pick Rate (UPH per picker)</t>
  </si>
  <si>
    <t>Example</t>
  </si>
  <si>
    <t>30 x 300 / 8 = 1,125 totes/hr</t>
  </si>
  <si>
    <t>Avg Units Per Tote</t>
  </si>
  <si>
    <t>Totes/Shift</t>
  </si>
  <si>
    <t>Totes/Hr x Shift Length</t>
  </si>
  <si>
    <t>Shift Length (hours)</t>
  </si>
  <si>
    <t>1,125 x 10.5 = 11,813 totes</t>
  </si>
  <si>
    <t>CALCULATED RESULTS</t>
  </si>
  <si>
    <t>Pallets</t>
  </si>
  <si>
    <t>Totes/Shift / 66 (totes per pallet)</t>
  </si>
  <si>
    <t>Totes Consumed Per Hour</t>
  </si>
  <si>
    <t>Stacks</t>
  </si>
  <si>
    <t>Totes/Shift / 11 (totes per stack)</t>
  </si>
  <si>
    <t>Totes Consumed Per Shift</t>
  </si>
  <si>
    <t>Pallets Needed Per Shift</t>
  </si>
  <si>
    <t>HOW PRESCRIPTIONS WORK</t>
  </si>
  <si>
    <t>Stacks Needed Per Shift</t>
  </si>
  <si>
    <t>If Floor Usable &gt; Totes Needed:</t>
  </si>
  <si>
    <t>REMOVE excess pallets</t>
  </si>
  <si>
    <t>If Floor Usable &lt; Totes Needed:</t>
  </si>
  <si>
    <t>ADD needed pallets</t>
  </si>
  <si>
    <t>CONSTANTS (FIXED)</t>
  </si>
  <si>
    <t>Pallets to move</t>
  </si>
  <si>
    <t>ABS(Surplus or Deficit) / 66</t>
  </si>
  <si>
    <t>Totes Per Stack</t>
  </si>
  <si>
    <t>Stacks Per Pallet</t>
  </si>
  <si>
    <t>Totes Per Pallet</t>
  </si>
  <si>
    <t>BUILDING SNAPSHOT (from Tote Count Entry)</t>
  </si>
  <si>
    <t>Building Total Totes</t>
  </si>
  <si>
    <t>Building Usable Totes</t>
  </si>
  <si>
    <t>Building VDT</t>
  </si>
  <si>
    <t>Building Damaged</t>
  </si>
  <si>
    <t>Building Pallets Equivalent</t>
  </si>
  <si>
    <t>Building Surplus/Deficit vs Demand</t>
  </si>
  <si>
    <t>Building Prescription</t>
  </si>
  <si>
    <t>Date</t>
  </si>
  <si>
    <t>DOW</t>
  </si>
  <si>
    <t>WEST</t>
  </si>
  <si>
    <t>NORTH</t>
  </si>
  <si>
    <t>SOUTH</t>
  </si>
  <si>
    <t>EAST P</t>
  </si>
  <si>
    <t>EAST S</t>
  </si>
  <si>
    <t>NORTH P</t>
  </si>
  <si>
    <t>NORTH S</t>
  </si>
  <si>
    <t>WEST P</t>
  </si>
  <si>
    <t>WEST S</t>
  </si>
  <si>
    <t>SOUTH P</t>
  </si>
  <si>
    <t>SOUTH S</t>
  </si>
  <si>
    <t>VDT P</t>
  </si>
  <si>
    <t>VDT S</t>
  </si>
  <si>
    <t>Damaged P</t>
  </si>
  <si>
    <t>Damaged S</t>
  </si>
  <si>
    <t>HOU6 TOTE TRACKING TOOL — INSTRUCTIONS</t>
  </si>
  <si>
    <t>OVERVIEW</t>
  </si>
  <si>
    <t>This workbook tracks tote inventory across all 5 floors of HOU6, calculates demand,</t>
  </si>
  <si>
    <t>and provides prescriptions for pallet movement. It has 4 main sheets plus this one.</t>
  </si>
  <si>
    <t>SHEET GUIDE</t>
  </si>
  <si>
    <t>Sheet Name</t>
  </si>
  <si>
    <t>Purpose</t>
  </si>
  <si>
    <t>Tote Count Entry</t>
  </si>
  <si>
    <t>Where you enter tote counts by floor and area (Stacks &amp; Pallets)</t>
  </si>
  <si>
    <t>Building Overview</t>
  </si>
  <si>
    <t>Auto-generated summary of all floors with surplus/deficit and prescriptions</t>
  </si>
  <si>
    <t>Demand Calculator</t>
  </si>
  <si>
    <t>Set picker count, pick rate, and shift length to calculate tote demand</t>
  </si>
  <si>
    <t>Historical Data</t>
  </si>
  <si>
    <t>Tracks daily snapshots of tote counts for trend analysis</t>
  </si>
  <si>
    <t>STEP-BY-STEP: DAILY TOTE COUNT</t>
  </si>
  <si>
    <t>Step 1: Update Demand Inputs (if needed)</t>
  </si>
  <si>
    <t xml:space="preserve">   Go to the Demand Calculator sheet.</t>
  </si>
  <si>
    <t xml:space="preserve">   Update the yellow cells if staffing or rates have changed:</t>
  </si>
  <si>
    <t>Step 2: Save Yesterday's Historical Data (IMPORTANT — Do This First!)</t>
  </si>
  <si>
    <t xml:space="preserve">   Before entering new counts, you must freeze the current data:</t>
  </si>
  <si>
    <t xml:space="preserve">      1. Go to the Historical Data sheet</t>
  </si>
  <si>
    <t xml:space="preserve">      2. Select rows 2 through 6 (all 5 floor rows with formulas)</t>
  </si>
  <si>
    <t xml:space="preserve">      3. Copy them (Ctrl+C)</t>
  </si>
  <si>
    <t xml:space="preserve">      4. Click the first empty row below existing historical records</t>
  </si>
  <si>
    <t xml:space="preserve">      5. Right-click → Paste Special → Values (or Ctrl+Shift+V → Values)</t>
  </si>
  <si>
    <t xml:space="preserve">      6. This freezes that day's numbers so they won't change</t>
  </si>
  <si>
    <t xml:space="preserve">   ⚠ If you skip this step, previous data will be overwritten!</t>
  </si>
  <si>
    <t>Step 3: Enter Tote Counts</t>
  </si>
  <si>
    <t xml:space="preserve">   Go to the Tote Count Entry sheet.</t>
  </si>
  <si>
    <t xml:space="preserve">   For each floor (1st through 5th), enter Stacks (S) and Pallets (P) for:</t>
  </si>
  <si>
    <t xml:space="preserve">      • East / Inbound</t>
  </si>
  <si>
    <t xml:space="preserve">      • West / Transhipment</t>
  </si>
  <si>
    <t xml:space="preserve">      • North / Pack</t>
  </si>
  <si>
    <t xml:space="preserve">      • South / AFE / Tote Wash</t>
  </si>
  <si>
    <t xml:space="preserve">      • Virtually Dirty Totes (VDT)</t>
  </si>
  <si>
    <t xml:space="preserve">      • Damaged Totes</t>
  </si>
  <si>
    <t xml:space="preserve">   The summary table at the top auto-calculates totals per floor.</t>
  </si>
  <si>
    <t>Step 4: Review Building Overview</t>
  </si>
  <si>
    <t xml:space="preserve">   Go to the Building Overview sheet. Everything auto-populates:</t>
  </si>
  <si>
    <t xml:space="preserve">      • Tote totals per floor and area</t>
  </si>
  <si>
    <t xml:space="preserve">      • Pallet equivalents (total totes ÷ 66)</t>
  </si>
  <si>
    <t xml:space="preserve">      • Surplus / Deficit (usable totes − totes needed per shift)</t>
  </si>
  <si>
    <t xml:space="preserve">      • Prescription (tells you how many pallets to ADD or REMOVE per floor)</t>
  </si>
  <si>
    <t>KEY CONSTANTS</t>
  </si>
  <si>
    <t>Value</t>
  </si>
  <si>
    <t>Meaning</t>
  </si>
  <si>
    <t>Totes per stack</t>
  </si>
  <si>
    <t>Stacks per pallet</t>
  </si>
  <si>
    <t>Totes per pallet (11 × 6)</t>
  </si>
  <si>
    <t>HISTORICAL DATA — HOW IT WORKS</t>
  </si>
  <si>
    <t>Rows 2-6 contain LIVE FORMULAS that always show current Tote Count Entry values.</t>
  </si>
  <si>
    <t>They auto-populate: Date, Day of Week, Floor, area totals, and Stacks/Pallets breakdowns.</t>
  </si>
  <si>
    <t>Because these are live formulas, they update every time you change the Tote Count Entry.</t>
  </si>
  <si>
    <t>To keep a permanent record, you MUST paste-as-values before entering new counts.</t>
  </si>
  <si>
    <t>Historical Data Columns:</t>
  </si>
  <si>
    <t xml:space="preserve">   A: Date                    J: EAST Pallets         P: SOUTH Pallets</t>
  </si>
  <si>
    <t xml:space="preserve">   B: Day of Week             K: EAST Stacks          Q: SOUTH Stacks</t>
  </si>
  <si>
    <t xml:space="preserve">   C: Floor                   L: NORTH Pallets        R: VDT Pallets</t>
  </si>
  <si>
    <t xml:space="preserve">   D: EAST (total totes)      M: NORTH Stacks         S: VDT Stacks</t>
  </si>
  <si>
    <t xml:space="preserve">   E: WEST (total totes)      N: WEST Pallets         T: Damaged Pallets</t>
  </si>
  <si>
    <t xml:space="preserve">   F: NORTH (total totes)     O: WEST Stacks          U: Damaged Stacks</t>
  </si>
  <si>
    <t xml:space="preserve">   G: SOUTH (total totes)</t>
  </si>
  <si>
    <t xml:space="preserve">   H: Damaged (total totes)</t>
  </si>
  <si>
    <t xml:space="preserve">   I: Virtually Dirty (total totes)</t>
  </si>
  <si>
    <t>TIPS &amp; REMINDERS</t>
  </si>
  <si>
    <t xml:space="preserve">   • Only enter data in the Tote Count Entry sheet — everything else auto-calculates.</t>
  </si>
  <si>
    <t xml:space="preserve">   • Always paste-as-values in Historical Data BEFORE entering new tote counts.</t>
  </si>
  <si>
    <t xml:space="preserve">   • "ON TARGET" means usable totes match demand — no pallets need to move.</t>
  </si>
  <si>
    <t>PER-FLOOR HEADCOUNT &amp; TOTES NEEDED</t>
  </si>
  <si>
    <t>Total Active Pickers (from above)</t>
  </si>
  <si>
    <t>Headcount</t>
  </si>
  <si>
    <t>TOTAL</t>
  </si>
  <si>
    <t xml:space="preserve">      • Number of Active Pickers (total building headcount)</t>
  </si>
  <si>
    <t xml:space="preserve">      • Pick Rate / UPH per picker</t>
  </si>
  <si>
    <t xml:space="preserve">      • Avg Units Per Tote</t>
  </si>
  <si>
    <t xml:space="preserve">      • Shift Length in hours</t>
  </si>
  <si>
    <t xml:space="preserve">   These values drive the building-wide demand calculation.</t>
  </si>
  <si>
    <t xml:space="preserve">   Then scroll down to the PER-FLOOR HEADCOUNT section:</t>
  </si>
  <si>
    <t xml:space="preserve">      • Enter the headcount for each floor (2nd through 5th) in the yellow cells.</t>
  </si>
  <si>
    <t xml:space="preserve">      • 1st Floor uses the building-wide demand total from the top section.</t>
  </si>
  <si>
    <t xml:space="preserve">      • Each floor's Totes Needed = (Headcount × Pick Rate ÷ Units per Tote) × Shift Length.</t>
  </si>
  <si>
    <t xml:space="preserve">      • The building prescription updates automatically based on total demand vs. usable totes.</t>
  </si>
  <si>
    <t xml:space="preserve">      • Hours sustainable (usable totes ÷ floor totes consumed per hour)</t>
  </si>
  <si>
    <t xml:space="preserve">      • Totes Needed per floor (driven by that floor's headcount and pick rate)</t>
  </si>
  <si>
    <t xml:space="preserve">   HOW FLOOR PRESCRIPTIONS WORK:</t>
  </si>
  <si>
    <t xml:space="preserve">      Each floor's prescription is calculated from its own headcount:</t>
  </si>
  <si>
    <t xml:space="preserve">      1. Totes/Hr = Floor Headcount × Pick Rate ÷ Units per Tote</t>
  </si>
  <si>
    <t xml:space="preserve">      2. Totes Needed (Shift) = Totes/Hr × Shift Length</t>
  </si>
  <si>
    <t xml:space="preserve">      3. Surplus/Deficit = Floor Usable Totes − Totes Needed</t>
  </si>
  <si>
    <t xml:space="preserve">      4. If Surplus &gt; 0 → REMOVE pallets from that floor (Surplus ÷ 66)</t>
  </si>
  <si>
    <t xml:space="preserve">      5. If Deficit &lt; 0 → ADD pallets to that floor (|Deficit| ÷ 66)</t>
  </si>
  <si>
    <t xml:space="preserve">   EXAMPLE:</t>
  </si>
  <si>
    <t xml:space="preserve">      If 2nd Floor has 18 pickers, pick rate = 312 UPH, 8 units/tote, 10.5 hr shift:</t>
  </si>
  <si>
    <t xml:space="preserve">      Totes/Hr = 18 × 312 ÷ 8 = 702</t>
  </si>
  <si>
    <t xml:space="preserve">      Totes Needed = 702 × 10.5 = 7,371</t>
  </si>
  <si>
    <t xml:space="preserve">      If 2nd Floor has 8,481 usable totes → Surplus = 8,481 − 7,371 = 1,110</t>
  </si>
  <si>
    <t xml:space="preserve">      Prescription: REMOVE 17 pallets (1,110 ÷ 66 = 17)</t>
  </si>
  <si>
    <t xml:space="preserve">   • Update the Demand Calculator when staffing or rates change.</t>
  </si>
  <si>
    <t xml:space="preserve">   • Update per-floor headcount (2nd-5th) whenever floor staffing changes.</t>
  </si>
  <si>
    <t xml:space="preserve">   • The Prescription column on Building Overview tells you exactly what to do per floor.</t>
  </si>
  <si>
    <t xml:space="preserve">   • The Building Prescription on Demand Calculator shows the overall building action.</t>
  </si>
  <si>
    <t>N/A</t>
  </si>
  <si>
    <t xml:space="preserve">   NOTE: 1st Floor does not have a tote demand calculation — it shows N/A for Totes</t>
  </si>
  <si>
    <t xml:space="preserve">   Needed, Surplus/Deficit, and Prescription. Only floors 2-5 have headcount-based prescriptions.</t>
  </si>
  <si>
    <t>CLEARING INPUT DATA</t>
  </si>
  <si>
    <t>Before entering new tote counts or when resetting the workbook, you must manually</t>
  </si>
  <si>
    <t>clear the input data. There are no automated clear buttons — this must be done by hand.</t>
  </si>
  <si>
    <t>To clear Tote Count Entry:</t>
  </si>
  <si>
    <t xml:space="preserve">   1. Go to the Tote Count Entry sheet</t>
  </si>
  <si>
    <t xml:space="preserve">   2. For each floor (1st through 5th), select the Stacks (S) and Pallets (P) cells</t>
  </si>
  <si>
    <t xml:space="preserve">   3. Delete the values (press Delete key) — do NOT delete the rows</t>
  </si>
  <si>
    <t xml:space="preserve">   4. Repeat for all floor sections and all areas (East, West, North, South, VDT, Damaged)</t>
  </si>
  <si>
    <t xml:space="preserve">   Tip: Select a large range of input cells at once (e.g., S17:Z42) and press Delete</t>
  </si>
  <si>
    <t>To clear Demand Calculator:</t>
  </si>
  <si>
    <t xml:space="preserve">   1. Go to the Demand Calculator sheet</t>
  </si>
  <si>
    <t xml:space="preserve">   2. Clear the yellow input cells at the top:</t>
  </si>
  <si>
    <t xml:space="preserve">      • B4 (Number of Active Pickers)</t>
  </si>
  <si>
    <t xml:space="preserve">      • B5 (Pick Rate / UPH per picker)</t>
  </si>
  <si>
    <t xml:space="preserve">      • B6 (Avg Units Per Tote)</t>
  </si>
  <si>
    <t xml:space="preserve">      • B7 (Shift Length in hours)</t>
  </si>
  <si>
    <t xml:space="preserve">   3. Scroll down to the Per-Floor Headcount section and clear:</t>
  </si>
  <si>
    <t xml:space="preserve">      • B35:B38 (Headcount for 2nd through 5th floor)</t>
  </si>
  <si>
    <t xml:space="preserve">   All calculated fields will reset to 0 automatically.</t>
  </si>
  <si>
    <t xml:space="preserve">   • You must manually clear input data before entering new counts — see "Clearing Input Data" above.</t>
  </si>
  <si>
    <t>Created by Hayden Gruppi (gruphaym) | Do not distribute without permission</t>
  </si>
  <si>
    <t>Area</t>
  </si>
  <si>
    <t>Usable Totes</t>
  </si>
  <si>
    <t>All Areas</t>
  </si>
  <si>
    <t>—</t>
  </si>
  <si>
    <t>2nd Floor - WEST</t>
  </si>
  <si>
    <t>3rd Floor - WEST</t>
  </si>
  <si>
    <t>4th Floor - WEST</t>
  </si>
  <si>
    <t>5th Floor - EAST</t>
  </si>
  <si>
    <t>5th Floor - WEST</t>
  </si>
  <si>
    <t>Hourly Surplus / Deficit</t>
  </si>
  <si>
    <t>Hourly Rx (1 Hr)</t>
  </si>
  <si>
    <t>EAST Covers WEST (Hrs)</t>
  </si>
  <si>
    <t>HOURLY VIEW (1-Hour Basis)</t>
  </si>
  <si>
    <t>FLOOR TOTAL</t>
  </si>
  <si>
    <t>1ST FLOOR REDISTRIBUTION PLAN</t>
  </si>
  <si>
    <t>1st Floor totes have no pick demand — redistribute to deficit floors</t>
  </si>
  <si>
    <t>Current Deficit</t>
  </si>
  <si>
    <t>1st Floor Allocation</t>
  </si>
  <si>
    <t>Pallets to Move</t>
  </si>
  <si>
    <t>Remaining Deficit</t>
  </si>
  <si>
    <t>Remaining Pallets Needed</t>
  </si>
  <si>
    <t>Status</t>
  </si>
  <si>
    <t>SUMMARY</t>
  </si>
  <si>
    <t>1st Floor Available</t>
  </si>
  <si>
    <t>Total Allocated</t>
  </si>
  <si>
    <t>Remaining on 1st Floor</t>
  </si>
  <si>
    <t>HOU6 TOTE DASHBOARD — QUICK VIEW</t>
  </si>
  <si>
    <t>Live data — auto-updates from Tote Count Entry &amp; Demand Calculator</t>
  </si>
  <si>
    <t>Total Totes</t>
  </si>
  <si>
    <t>VDT</t>
  </si>
  <si>
    <t>Shift Demand</t>
  </si>
  <si>
    <t>Building Status</t>
  </si>
  <si>
    <t>FLOOR STATUS</t>
  </si>
  <si>
    <t>Pallets +/-</t>
  </si>
  <si>
    <t>1ST FLOOR REDISTRIBUTION</t>
  </si>
  <si>
    <t>Send To</t>
  </si>
  <si>
    <t>Totes to Send</t>
  </si>
  <si>
    <t>Remaining Shortfall</t>
  </si>
  <si>
    <t>ACTION STEPS</t>
  </si>
  <si>
    <t>Step</t>
  </si>
  <si>
    <t>Action</t>
  </si>
  <si>
    <t>QUICK VIEW SHEET</t>
  </si>
  <si>
    <t>The Quick View sheet is a simplified, read-only dashboard that provides an at-a-glance</t>
  </si>
  <si>
    <t>summary of the entire building's tote status. It is fully auto-populated — no data entry needed.</t>
  </si>
  <si>
    <t>WHAT IT SHOWS:</t>
  </si>
  <si>
    <t xml:space="preserve">   Section 1: Building Snapshot</t>
  </si>
  <si>
    <t xml:space="preserve">      • Total Totes, Usable Totes, Damaged, VDT, Shift Demand</t>
  </si>
  <si>
    <t xml:space="preserve">      • Building-level status: whether to REDISTRIBUTE or ADD pallets</t>
  </si>
  <si>
    <t xml:space="preserve">   Section 2: Floor Status</t>
  </si>
  <si>
    <t xml:space="preserve">      • One row per floor with total usable totes (all areas combined)</t>
  </si>
  <si>
    <t xml:space="preserve">      • Shift demand, surplus/deficit, and prescription per floor</t>
  </si>
  <si>
    <t xml:space="preserve">      • Green = surplus (has enough totes), Red = deficit (needs more)</t>
  </si>
  <si>
    <t xml:space="preserve">      • 1st Floor prescription shows exactly where to send its totes</t>
  </si>
  <si>
    <t xml:space="preserve">   Section 3: 1st Floor Redistribution</t>
  </si>
  <si>
    <t xml:space="preserve">      • Shows how the 1st Floor's totes are allocated to deficit floors</t>
  </si>
  <si>
    <t xml:space="preserve">      • Proportionally splits totes to 3rd and 4th Floors based on their deficits</t>
  </si>
  <si>
    <t xml:space="preserve">      • Shows remaining shortfall after redistribution</t>
  </si>
  <si>
    <t xml:space="preserve">   Section 4: Action Steps</t>
  </si>
  <si>
    <t xml:space="preserve">      • Five numbered steps for the shift team to follow:</t>
  </si>
  <si>
    <t xml:space="preserve">         1. Move pallets from 1st Floor to 3rd Floor WEST</t>
  </si>
  <si>
    <t xml:space="preserve">         2. Move pallets from 1st Floor to 4th Floor WEST</t>
  </si>
  <si>
    <t xml:space="preserve">         3. Redistribute within 2nd Floor (EAST/NORTH/SOUTH → WEST)</t>
  </si>
  <si>
    <t xml:space="preserve">         4. Redistribute within 5th Floor (EAST → WEST)</t>
  </si>
  <si>
    <t xml:space="preserve">         5. Bring in pallets from outside (only if needed after redistribution)</t>
  </si>
  <si>
    <t>HOW IT WORKS:</t>
  </si>
  <si>
    <t xml:space="preserve">   • All values are formula-linked to Building Overview and Demand Calculator.</t>
  </si>
  <si>
    <t xml:space="preserve">   • When you update the Tote Count Entry or Demand Calculator, Quick View updates automatically.</t>
  </si>
  <si>
    <t xml:space="preserve">   • The sheet is protected so formulas cannot be accidentally changed.</t>
  </si>
  <si>
    <t xml:space="preserve">   • No manual input is required on this sheet.</t>
  </si>
  <si>
    <t>WHEN TO USE IT:</t>
  </si>
  <si>
    <t xml:space="preserve">   • At shift start: review the Action Steps to know what pallets to move.</t>
  </si>
  <si>
    <t xml:space="preserve">   • During shift: check the Building Snapshot for current status.</t>
  </si>
  <si>
    <t xml:space="preserve">   • For leadership: share as a simple summary without the detailed breakdowns.</t>
  </si>
  <si>
    <t>Quick View</t>
  </si>
  <si>
    <t>Simplified dashboard — at-a-glance status, floor prescriptions, and action steps</t>
  </si>
  <si>
    <t>Pick Rate (UPH)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</si>
</sst>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yyyy\-mm\-dd"/>
    <numFmt numFmtId="167" formatCode="mm/dd/yyyy"/>
  </numFmts>
  <fonts count="31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E75B6"/>
      <name val="Calibri"/>
      <family val="2"/>
      <scheme val="minor"/>
    </font>
    <font>
      <b/>
      <sz val="11"/>
      <color rgb="FF375623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i/>
      <sz val="11"/>
      <color rgb="FF2E75B6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8"/>
      <color rgb="FF99999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4" fillId="0" borderId="2" xfId="0" applyFont="1" applyBorder="1"/>
    <xf numFmtId="3" fontId="0" fillId="0" borderId="2" xfId="0" applyNumberFormat="1" applyBorder="1" applyAlignment="1">
      <alignment horizontal="center"/>
    </xf>
    <xf numFmtId="3" fontId="5" fillId="3" borderId="3" xfId="0" applyNumberFormat="1" applyFont="1" applyFill="1" applyBorder="1" applyAlignment="1">
      <alignment horizontal="center"/>
    </xf>
    <xf numFmtId="0" fontId="6" fillId="2" borderId="2" xfId="0" applyFont="1" applyFill="1" applyBorder="1"/>
    <xf numFmtId="0" fontId="4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3" fontId="5" fillId="9" borderId="2" xfId="0" applyNumberFormat="1" applyFont="1" applyFill="1" applyBorder="1" applyAlignment="1">
      <alignment horizontal="center"/>
    </xf>
    <xf numFmtId="3" fontId="11" fillId="10" borderId="3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3" fillId="2" borderId="2" xfId="0" applyFont="1" applyFill="1" applyBorder="1"/>
    <xf numFmtId="0" fontId="4" fillId="3" borderId="2" xfId="0" applyFont="1" applyFill="1" applyBorder="1"/>
    <xf numFmtId="0" fontId="0" fillId="0" borderId="2" xfId="0" applyBorder="1" applyAlignment="1">
      <alignment horizontal="left" indent="1"/>
    </xf>
    <xf numFmtId="0" fontId="14" fillId="0" borderId="2" xfId="0" applyFont="1" applyBorder="1" applyAlignment="1">
      <alignment wrapText="1"/>
    </xf>
    <xf numFmtId="0" fontId="0" fillId="9" borderId="2" xfId="0" applyFill="1" applyBorder="1" applyAlignment="1">
      <alignment horizontal="left" indent="1"/>
    </xf>
    <xf numFmtId="165" fontId="5" fillId="9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left" indent="1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left" indent="1"/>
    </xf>
    <xf numFmtId="3" fontId="5" fillId="3" borderId="2" xfId="0" applyNumberFormat="1" applyFont="1" applyFill="1" applyBorder="1" applyAlignment="1">
      <alignment horizontal="center"/>
    </xf>
    <xf numFmtId="0" fontId="0" fillId="10" borderId="2" xfId="0" applyFill="1" applyBorder="1" applyAlignment="1">
      <alignment horizontal="left" indent="1"/>
    </xf>
    <xf numFmtId="0" fontId="11" fillId="10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14" fontId="2" fillId="0" borderId="0" xfId="0" applyNumberFormat="1" applyFont="1"/>
    <xf numFmtId="167" fontId="0" fillId="0" borderId="2" xfId="0" applyNumberFormat="1" applyBorder="1" applyAlignment="1">
      <alignment horizontal="center"/>
    </xf>
    <xf numFmtId="0" fontId="15" fillId="0" borderId="0" xfId="0" applyFont="1"/>
    <xf numFmtId="0" fontId="0" fillId="9" borderId="0" xfId="0" applyFill="1"/>
    <xf numFmtId="0" fontId="3" fillId="2" borderId="4" xfId="0" applyFont="1" applyFill="1" applyBorder="1"/>
    <xf numFmtId="0" fontId="0" fillId="0" borderId="4" xfId="0" applyBorder="1"/>
    <xf numFmtId="3" fontId="0" fillId="0" borderId="4" xfId="0" applyNumberFormat="1" applyBorder="1"/>
    <xf numFmtId="0" fontId="5" fillId="9" borderId="4" xfId="0" applyFont="1" applyFill="1" applyBorder="1"/>
    <xf numFmtId="3" fontId="5" fillId="9" borderId="4" xfId="0" applyNumberFormat="1" applyFont="1" applyFill="1" applyBorder="1"/>
    <xf numFmtId="3" fontId="11" fillId="10" borderId="2" xfId="0" applyNumberFormat="1" applyFont="1" applyFill="1" applyBorder="1" applyAlignment="1">
      <alignment wrapText="1"/>
    </xf>
    <xf numFmtId="0" fontId="16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7" fillId="3" borderId="0" xfId="0" applyFont="1" applyFill="1" applyAlignment="1">
      <alignment vertical="top"/>
    </xf>
    <xf numFmtId="0" fontId="4" fillId="3" borderId="5" xfId="0" applyFont="1" applyFill="1" applyBorder="1"/>
    <xf numFmtId="0" fontId="4" fillId="3" borderId="6" xfId="0" applyFont="1" applyFill="1" applyBorder="1"/>
    <xf numFmtId="0" fontId="14" fillId="0" borderId="6" xfId="0" applyFont="1" applyBorder="1" applyAlignment="1">
      <alignment wrapText="1"/>
    </xf>
    <xf numFmtId="0" fontId="20" fillId="0" borderId="0" xfId="0" applyFont="1"/>
    <xf numFmtId="3" fontId="0" fillId="8" borderId="2" xfId="0" applyNumberFormat="1" applyFill="1" applyBorder="1" applyAlignment="1" applyProtection="1">
      <alignment horizontal="center"/>
      <protection locked="0"/>
    </xf>
    <xf numFmtId="164" fontId="0" fillId="8" borderId="2" xfId="0" applyNumberFormat="1" applyFill="1" applyBorder="1" applyAlignment="1" applyProtection="1">
      <alignment horizontal="center"/>
      <protection locked="0"/>
    </xf>
    <xf numFmtId="3" fontId="0" fillId="8" borderId="4" xfId="0" applyNumberFormat="1" applyFill="1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3" fontId="0" fillId="0" borderId="2" xfId="0" applyNumberFormat="1" applyBorder="1" applyAlignment="1" applyProtection="1">
      <alignment horizontal="center"/>
      <protection locked="0"/>
    </xf>
    <xf numFmtId="166" fontId="0" fillId="0" borderId="2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0" fillId="0" borderId="0" xfId="0" applyFont="1" applyProtection="1">
      <protection locked="0"/>
    </xf>
    <xf numFmtId="0" fontId="5" fillId="0" borderId="0" xfId="0" applyFont="1"/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5" fillId="9" borderId="7" xfId="0" applyFont="1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24" fillId="9" borderId="0" xfId="0" applyFont="1" applyFill="1" applyBorder="1" applyAlignment="1">
      <alignment vertical="center"/>
    </xf>
    <xf numFmtId="0" fontId="5" fillId="12" borderId="7" xfId="0" applyFont="1" applyFill="1" applyBorder="1" applyAlignment="1">
      <alignment vertical="center"/>
    </xf>
    <xf numFmtId="0" fontId="0" fillId="12" borderId="7" xfId="0" applyFill="1" applyBorder="1" applyAlignment="1">
      <alignment vertical="center"/>
    </xf>
    <xf numFmtId="0" fontId="5" fillId="11" borderId="9" xfId="0" applyFont="1" applyFill="1" applyBorder="1" applyAlignment="1">
      <alignment vertical="center"/>
    </xf>
    <xf numFmtId="0" fontId="5" fillId="11" borderId="8" xfId="0" applyFont="1" applyFill="1" applyBorder="1" applyAlignment="1">
      <alignment vertical="center"/>
    </xf>
    <xf numFmtId="0" fontId="26" fillId="0" borderId="0" xfId="0" applyFont="1" applyAlignment="1">
      <alignment vertical="center" wrapText="1"/>
    </xf>
    <xf numFmtId="0" fontId="3" fillId="13" borderId="11" xfId="0" applyFont="1" applyFill="1" applyBorder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0" fontId="5" fillId="9" borderId="7" xfId="0" applyFont="1" applyFill="1" applyBorder="1" applyAlignment="1">
      <alignment horizontal="left" vertical="center" wrapText="1"/>
    </xf>
    <xf numFmtId="0" fontId="24" fillId="9" borderId="0" xfId="0" applyFont="1" applyFill="1" applyAlignment="1">
      <alignment horizontal="left" vertical="center" wrapText="1"/>
    </xf>
    <xf numFmtId="0" fontId="0" fillId="12" borderId="7" xfId="0" applyFill="1" applyBorder="1" applyAlignment="1">
      <alignment horizontal="left" vertical="center" wrapText="1"/>
    </xf>
    <xf numFmtId="0" fontId="5" fillId="12" borderId="7" xfId="0" applyFont="1" applyFill="1" applyBorder="1" applyAlignment="1">
      <alignment horizontal="left" vertical="center" wrapText="1"/>
    </xf>
    <xf numFmtId="0" fontId="5" fillId="11" borderId="10" xfId="0" applyFont="1" applyFill="1" applyBorder="1" applyAlignment="1">
      <alignment horizontal="left" vertical="center" wrapText="1"/>
    </xf>
    <xf numFmtId="0" fontId="3" fillId="13" borderId="11" xfId="0" applyFont="1" applyFill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15" borderId="0" xfId="0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5" fillId="11" borderId="8" xfId="0" applyFont="1" applyFill="1" applyBorder="1" applyAlignment="1">
      <alignment horizontal="left" vertical="center" wrapText="1"/>
    </xf>
    <xf numFmtId="3" fontId="5" fillId="11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9" borderId="7" xfId="0" applyNumberFormat="1" applyFill="1" applyBorder="1" applyAlignment="1">
      <alignment horizontal="center" vertical="center"/>
    </xf>
    <xf numFmtId="3" fontId="5" fillId="9" borderId="7" xfId="0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3" fontId="24" fillId="9" borderId="0" xfId="0" applyNumberFormat="1" applyFont="1" applyFill="1" applyBorder="1" applyAlignment="1">
      <alignment horizontal="center" vertical="center"/>
    </xf>
    <xf numFmtId="3" fontId="0" fillId="12" borderId="7" xfId="0" applyNumberFormat="1" applyFill="1" applyBorder="1" applyAlignment="1">
      <alignment horizontal="center" vertical="center"/>
    </xf>
    <xf numFmtId="3" fontId="5" fillId="12" borderId="7" xfId="0" applyNumberFormat="1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3" fontId="24" fillId="9" borderId="0" xfId="0" applyNumberFormat="1" applyFont="1" applyFill="1" applyAlignment="1">
      <alignment horizontal="center" vertical="center"/>
    </xf>
    <xf numFmtId="3" fontId="5" fillId="11" borderId="8" xfId="0" applyNumberFormat="1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3" fontId="5" fillId="11" borderId="9" xfId="0" applyNumberFormat="1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3" fontId="0" fillId="14" borderId="0" xfId="0" applyNumberFormat="1" applyFill="1" applyAlignment="1">
      <alignment horizontal="center" vertical="center" wrapText="1"/>
    </xf>
    <xf numFmtId="3" fontId="0" fillId="15" borderId="0" xfId="0" applyNumberFormat="1" applyFill="1" applyAlignment="1">
      <alignment horizontal="center" vertical="center" wrapText="1"/>
    </xf>
    <xf numFmtId="3" fontId="5" fillId="9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" fillId="13" borderId="2" xfId="0" applyFont="1" applyFill="1" applyBorder="1" applyAlignment="1">
      <alignment vertical="center"/>
    </xf>
    <xf numFmtId="3" fontId="29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25" fillId="0" borderId="2" xfId="0" applyFont="1" applyBorder="1" applyAlignment="1">
      <alignment vertical="center"/>
    </xf>
    <xf numFmtId="0" fontId="3" fillId="13" borderId="2" xfId="0" applyFont="1" applyFill="1" applyBorder="1" applyAlignment="1">
      <alignment vertical="center" wrapText="1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3" fillId="2" borderId="12" xfId="0" applyFont="1" applyFill="1" applyBorder="1"/>
    <xf numFmtId="3" fontId="0" fillId="0" borderId="0" xfId="0" applyNumberFormat="1"/>
    <xf numFmtId="3" fontId="5" fillId="9" borderId="0" xfId="0" applyNumberFormat="1" applyFont="1" applyFill="1"/>
    <xf numFmtId="0" fontId="2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2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B8EF00-5086-44C1-AD74-D40606D8088A}">
  <we:reference id="cc60e3e5-41cc-4675-9c49-ad04959b3f7a" version="1.0.1.6" store="EXCatalog" storeType="EXCatalog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3BAC-58A3-47B8-A415-561777889423}">
  <sheetPr>
    <tabColor rgb="FF4472C4"/>
  </sheetPr>
  <dimension ref="A1:F1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  <col min="2" max="2" width="54.5703125" customWidth="1"/>
  </cols>
  <sheetData>
    <row r="1" spans="1:6" ht="23.25" x14ac:dyDescent="0.25">
      <c r="A1" s="41" t="s">
        <v>110</v>
      </c>
      <c r="B1" s="40"/>
      <c r="C1" s="32"/>
      <c r="D1" s="32"/>
      <c r="E1" s="32"/>
      <c r="F1" s="32"/>
    </row>
    <row r="2" spans="1:6" x14ac:dyDescent="0.25">
      <c r="A2" s="40"/>
      <c r="B2" s="40"/>
      <c r="C2" s="32"/>
      <c r="D2" s="32"/>
      <c r="E2" s="32"/>
      <c r="F2" s="32"/>
    </row>
    <row r="3" spans="1:6" x14ac:dyDescent="0.25">
      <c r="A3" s="42" t="s">
        <v>111</v>
      </c>
      <c r="B3" s="40"/>
      <c r="C3" s="32"/>
      <c r="D3" s="32"/>
      <c r="E3" s="32"/>
      <c r="F3" s="32"/>
    </row>
    <row r="4" spans="1:6" x14ac:dyDescent="0.25">
      <c r="A4" s="40" t="s">
        <v>112</v>
      </c>
      <c r="B4" s="40"/>
      <c r="C4" s="32"/>
      <c r="D4" s="32"/>
      <c r="E4" s="32"/>
      <c r="F4" s="32"/>
    </row>
    <row r="5" spans="1:6" x14ac:dyDescent="0.25">
      <c r="A5" s="40" t="s">
        <v>113</v>
      </c>
      <c r="B5" s="40"/>
      <c r="C5" s="32"/>
      <c r="D5" s="32"/>
      <c r="E5" s="32"/>
      <c r="F5" s="32"/>
    </row>
    <row r="6" spans="1:6" x14ac:dyDescent="0.25">
      <c r="A6" s="40"/>
      <c r="B6" s="40"/>
      <c r="C6" s="32"/>
      <c r="D6" s="32"/>
      <c r="E6" s="32"/>
      <c r="F6" s="32"/>
    </row>
    <row r="7" spans="1:6" x14ac:dyDescent="0.25">
      <c r="A7" s="42" t="s">
        <v>114</v>
      </c>
      <c r="B7" s="40"/>
      <c r="C7" s="32"/>
      <c r="D7" s="32"/>
      <c r="E7" s="32"/>
      <c r="F7" s="32"/>
    </row>
    <row r="8" spans="1:6" x14ac:dyDescent="0.25">
      <c r="A8" s="44" t="s">
        <v>115</v>
      </c>
      <c r="B8" s="44" t="s">
        <v>116</v>
      </c>
      <c r="C8" s="32"/>
      <c r="D8" s="32"/>
      <c r="E8" s="32"/>
      <c r="F8" s="32"/>
    </row>
    <row r="9" spans="1:6" x14ac:dyDescent="0.25">
      <c r="A9" s="40" t="s">
        <v>117</v>
      </c>
      <c r="B9" s="40" t="s">
        <v>118</v>
      </c>
      <c r="C9" s="32"/>
      <c r="D9" s="32"/>
      <c r="E9" s="32"/>
      <c r="F9" s="32"/>
    </row>
    <row r="10" spans="1:6" x14ac:dyDescent="0.25">
      <c r="A10" s="40" t="s">
        <v>119</v>
      </c>
      <c r="B10" s="40" t="s">
        <v>120</v>
      </c>
      <c r="C10" s="32"/>
      <c r="D10" s="32"/>
      <c r="E10" s="32"/>
      <c r="F10" s="32"/>
    </row>
    <row r="11" spans="1:6" x14ac:dyDescent="0.25">
      <c r="A11" s="40" t="s">
        <v>121</v>
      </c>
      <c r="B11" s="40" t="s">
        <v>122</v>
      </c>
      <c r="C11" s="32"/>
      <c r="D11" s="32"/>
      <c r="E11" s="32"/>
      <c r="F11" s="32"/>
    </row>
    <row r="12" spans="1:6" x14ac:dyDescent="0.25">
      <c r="A12" s="40" t="s">
        <v>123</v>
      </c>
      <c r="B12" s="40" t="s">
        <v>124</v>
      </c>
      <c r="C12" s="32"/>
      <c r="D12" s="32"/>
      <c r="E12" s="32"/>
      <c r="F12" s="32"/>
    </row>
    <row r="13" spans="1:6" x14ac:dyDescent="0.25">
      <c r="A13" s="40" t="s">
        <v>309</v>
      </c>
      <c r="B13" s="40" t="s">
        <v>310</v>
      </c>
      <c r="C13" s="32"/>
      <c r="D13" s="32"/>
      <c r="E13" s="32"/>
      <c r="F13" s="32"/>
    </row>
    <row r="14" spans="1:6" x14ac:dyDescent="0.25">
      <c r="A14" s="42" t="s">
        <v>125</v>
      </c>
      <c r="B14" s="40"/>
      <c r="C14" s="32"/>
      <c r="D14" s="32"/>
      <c r="E14" s="32"/>
      <c r="F14" s="32"/>
    </row>
    <row r="15" spans="1:6" x14ac:dyDescent="0.25">
      <c r="A15" s="40"/>
      <c r="B15" s="40"/>
      <c r="C15" s="32"/>
      <c r="D15" s="32"/>
      <c r="E15" s="32"/>
      <c r="F15" s="32"/>
    </row>
    <row r="16" spans="1:6" x14ac:dyDescent="0.25">
      <c r="A16" s="43" t="s">
        <v>126</v>
      </c>
      <c r="B16" s="40"/>
      <c r="C16" s="32"/>
      <c r="D16" s="32"/>
      <c r="E16" s="32"/>
      <c r="F16" s="32"/>
    </row>
    <row r="17" spans="1:6" x14ac:dyDescent="0.25">
      <c r="A17" s="40" t="s">
        <v>127</v>
      </c>
      <c r="B17" s="40"/>
      <c r="C17" s="32"/>
      <c r="D17" s="32"/>
      <c r="E17" s="32"/>
      <c r="F17" s="32"/>
    </row>
    <row r="18" spans="1:6" x14ac:dyDescent="0.25">
      <c r="A18" s="40" t="s">
        <v>128</v>
      </c>
      <c r="B18" s="40"/>
      <c r="C18" s="32"/>
      <c r="D18" s="32"/>
      <c r="E18" s="32"/>
      <c r="F18" s="32"/>
    </row>
    <row r="19" spans="1:6" x14ac:dyDescent="0.25">
      <c r="A19" s="40" t="s">
        <v>183</v>
      </c>
      <c r="B19" s="40"/>
      <c r="C19" s="32"/>
      <c r="D19" s="32"/>
      <c r="E19" s="32"/>
      <c r="F19" s="32"/>
    </row>
    <row r="20" spans="1:6" x14ac:dyDescent="0.25">
      <c r="A20" s="40" t="s">
        <v>184</v>
      </c>
      <c r="B20" s="40"/>
      <c r="C20" s="32"/>
      <c r="D20" s="32"/>
      <c r="E20" s="32"/>
      <c r="F20" s="32"/>
    </row>
    <row r="21" spans="1:6" x14ac:dyDescent="0.25">
      <c r="A21" s="40" t="s">
        <v>185</v>
      </c>
      <c r="B21" s="40"/>
      <c r="C21" s="32"/>
      <c r="D21" s="32"/>
      <c r="E21" s="32"/>
      <c r="F21" s="32"/>
    </row>
    <row r="22" spans="1:6" x14ac:dyDescent="0.25">
      <c r="A22" s="40" t="s">
        <v>186</v>
      </c>
      <c r="B22" s="40"/>
      <c r="C22" s="32"/>
      <c r="D22" s="32"/>
      <c r="E22" s="32"/>
      <c r="F22" s="32"/>
    </row>
    <row r="23" spans="1:6" x14ac:dyDescent="0.25">
      <c r="A23" s="40" t="s">
        <v>187</v>
      </c>
      <c r="B23" s="40"/>
      <c r="C23" s="32"/>
      <c r="D23" s="32"/>
      <c r="E23" s="32"/>
      <c r="F23" s="32"/>
    </row>
    <row r="24" spans="1:6" x14ac:dyDescent="0.25">
      <c r="A24" s="40"/>
      <c r="B24" s="40"/>
      <c r="C24" s="32"/>
      <c r="D24" s="32"/>
      <c r="E24" s="32"/>
      <c r="F24" s="32"/>
    </row>
    <row r="25" spans="1:6" x14ac:dyDescent="0.25">
      <c r="A25" s="43" t="s">
        <v>188</v>
      </c>
      <c r="B25" s="40"/>
      <c r="C25" s="32"/>
      <c r="D25" s="32"/>
      <c r="E25" s="32"/>
      <c r="F25" s="32"/>
    </row>
    <row r="26" spans="1:6" x14ac:dyDescent="0.25">
      <c r="A26" s="40" t="s">
        <v>189</v>
      </c>
      <c r="B26" s="40"/>
      <c r="C26" s="32"/>
      <c r="D26" s="32"/>
      <c r="E26" s="32"/>
      <c r="F26" s="32"/>
    </row>
    <row r="27" spans="1:6" x14ac:dyDescent="0.25">
      <c r="A27" s="40" t="s">
        <v>190</v>
      </c>
      <c r="B27" s="40"/>
      <c r="C27" s="32"/>
      <c r="D27" s="32"/>
      <c r="E27" s="32"/>
      <c r="F27" s="32"/>
    </row>
    <row r="28" spans="1:6" x14ac:dyDescent="0.25">
      <c r="A28" s="40" t="s">
        <v>191</v>
      </c>
      <c r="B28" s="40"/>
      <c r="C28" s="32"/>
      <c r="D28" s="32"/>
      <c r="E28" s="32"/>
      <c r="F28" s="32"/>
    </row>
    <row r="29" spans="1:6" x14ac:dyDescent="0.25">
      <c r="A29" s="40" t="s">
        <v>192</v>
      </c>
      <c r="B29" s="40"/>
      <c r="C29" s="32"/>
      <c r="D29" s="32"/>
      <c r="E29" s="32"/>
      <c r="F29" s="32"/>
    </row>
    <row r="30" spans="1:6" x14ac:dyDescent="0.25">
      <c r="A30" s="40"/>
      <c r="B30" s="40"/>
      <c r="C30" s="32"/>
      <c r="D30" s="32"/>
      <c r="E30" s="32"/>
      <c r="F30" s="32"/>
    </row>
    <row r="31" spans="1:6" x14ac:dyDescent="0.25">
      <c r="A31" s="43" t="s">
        <v>129</v>
      </c>
      <c r="B31" s="40"/>
      <c r="C31" s="32"/>
      <c r="D31" s="32"/>
      <c r="E31" s="32"/>
      <c r="F31" s="32"/>
    </row>
    <row r="32" spans="1:6" x14ac:dyDescent="0.25">
      <c r="A32" s="40" t="s">
        <v>130</v>
      </c>
      <c r="B32" s="40"/>
      <c r="C32" s="32"/>
      <c r="D32" s="32"/>
      <c r="E32" s="32"/>
      <c r="F32" s="32"/>
    </row>
    <row r="33" spans="1:6" x14ac:dyDescent="0.25">
      <c r="A33" s="40" t="s">
        <v>131</v>
      </c>
      <c r="B33" s="40"/>
      <c r="C33" s="32"/>
      <c r="D33" s="32"/>
      <c r="E33" s="32"/>
      <c r="F33" s="32"/>
    </row>
    <row r="34" spans="1:6" x14ac:dyDescent="0.25">
      <c r="A34" s="40" t="s">
        <v>132</v>
      </c>
      <c r="B34" s="40"/>
      <c r="C34" s="32"/>
      <c r="D34" s="32"/>
      <c r="E34" s="32"/>
      <c r="F34" s="32"/>
    </row>
    <row r="35" spans="1:6" x14ac:dyDescent="0.25">
      <c r="A35" s="40" t="s">
        <v>133</v>
      </c>
      <c r="B35" s="40"/>
      <c r="C35" s="32"/>
      <c r="D35" s="32"/>
      <c r="E35" s="32"/>
      <c r="F35" s="32"/>
    </row>
    <row r="36" spans="1:6" x14ac:dyDescent="0.25">
      <c r="A36" s="40" t="s">
        <v>134</v>
      </c>
      <c r="B36" s="40"/>
      <c r="C36" s="32"/>
      <c r="D36" s="32"/>
      <c r="E36" s="32"/>
      <c r="F36" s="32"/>
    </row>
    <row r="37" spans="1:6" x14ac:dyDescent="0.25">
      <c r="A37" s="40" t="s">
        <v>135</v>
      </c>
      <c r="B37" s="40"/>
      <c r="C37" s="32"/>
      <c r="D37" s="32"/>
      <c r="E37" s="32"/>
      <c r="F37" s="32"/>
    </row>
    <row r="38" spans="1:6" x14ac:dyDescent="0.25">
      <c r="A38" s="40" t="s">
        <v>136</v>
      </c>
      <c r="B38" s="40"/>
      <c r="C38" s="32"/>
      <c r="D38" s="32"/>
      <c r="E38" s="32"/>
      <c r="F38" s="32"/>
    </row>
    <row r="39" spans="1:6" x14ac:dyDescent="0.25">
      <c r="A39" s="40" t="s">
        <v>137</v>
      </c>
      <c r="B39" s="40"/>
      <c r="C39" s="32"/>
      <c r="D39" s="32"/>
      <c r="E39" s="32"/>
      <c r="F39" s="32"/>
    </row>
    <row r="40" spans="1:6" x14ac:dyDescent="0.25">
      <c r="A40" s="40"/>
      <c r="B40" s="40"/>
      <c r="C40" s="32"/>
      <c r="D40" s="32"/>
      <c r="E40" s="32"/>
      <c r="F40" s="32"/>
    </row>
    <row r="41" spans="1:6" x14ac:dyDescent="0.25">
      <c r="A41" s="43" t="s">
        <v>138</v>
      </c>
      <c r="B41" s="40"/>
      <c r="C41" s="32"/>
      <c r="D41" s="32"/>
      <c r="E41" s="32"/>
      <c r="F41" s="32"/>
    </row>
    <row r="42" spans="1:6" x14ac:dyDescent="0.25">
      <c r="A42" s="40" t="s">
        <v>139</v>
      </c>
      <c r="B42" s="40"/>
      <c r="C42" s="32"/>
      <c r="D42" s="32"/>
      <c r="E42" s="32"/>
      <c r="F42" s="32"/>
    </row>
    <row r="43" spans="1:6" x14ac:dyDescent="0.25">
      <c r="A43" s="40" t="s">
        <v>140</v>
      </c>
      <c r="B43" s="40"/>
      <c r="C43" s="32"/>
      <c r="D43" s="32"/>
      <c r="E43" s="32"/>
      <c r="F43" s="32"/>
    </row>
    <row r="44" spans="1:6" x14ac:dyDescent="0.25">
      <c r="A44" s="40" t="s">
        <v>141</v>
      </c>
      <c r="B44" s="40"/>
      <c r="C44" s="32"/>
      <c r="D44" s="32"/>
      <c r="E44" s="32"/>
      <c r="F44" s="32"/>
    </row>
    <row r="45" spans="1:6" x14ac:dyDescent="0.25">
      <c r="A45" s="40" t="s">
        <v>142</v>
      </c>
      <c r="B45" s="40"/>
      <c r="C45" s="32"/>
      <c r="D45" s="32"/>
      <c r="E45" s="32"/>
      <c r="F45" s="32"/>
    </row>
    <row r="46" spans="1:6" x14ac:dyDescent="0.25">
      <c r="A46" s="40" t="s">
        <v>143</v>
      </c>
      <c r="B46" s="40"/>
      <c r="C46" s="32"/>
      <c r="D46" s="32"/>
      <c r="E46" s="32"/>
      <c r="F46" s="32"/>
    </row>
    <row r="47" spans="1:6" x14ac:dyDescent="0.25">
      <c r="A47" s="40" t="s">
        <v>144</v>
      </c>
      <c r="B47" s="40"/>
      <c r="C47" s="32"/>
      <c r="D47" s="32"/>
      <c r="E47" s="32"/>
      <c r="F47" s="32"/>
    </row>
    <row r="48" spans="1:6" x14ac:dyDescent="0.25">
      <c r="A48" s="40" t="s">
        <v>145</v>
      </c>
      <c r="B48" s="40"/>
      <c r="C48" s="32"/>
      <c r="D48" s="32"/>
      <c r="E48" s="32"/>
      <c r="F48" s="32"/>
    </row>
    <row r="49" spans="1:6" x14ac:dyDescent="0.25">
      <c r="A49" s="40" t="s">
        <v>146</v>
      </c>
      <c r="B49" s="40"/>
      <c r="C49" s="32"/>
      <c r="D49" s="32"/>
      <c r="E49" s="32"/>
      <c r="F49" s="32"/>
    </row>
    <row r="50" spans="1:6" x14ac:dyDescent="0.25">
      <c r="A50" s="40" t="s">
        <v>147</v>
      </c>
      <c r="B50" s="40"/>
      <c r="C50" s="32"/>
      <c r="D50" s="32"/>
      <c r="E50" s="32"/>
      <c r="F50" s="32"/>
    </row>
    <row r="51" spans="1:6" x14ac:dyDescent="0.25">
      <c r="A51" s="40"/>
      <c r="B51" s="40"/>
      <c r="C51" s="32"/>
      <c r="D51" s="32"/>
      <c r="E51" s="32"/>
      <c r="F51" s="32"/>
    </row>
    <row r="52" spans="1:6" x14ac:dyDescent="0.25">
      <c r="A52" s="43" t="s">
        <v>148</v>
      </c>
      <c r="B52" s="40"/>
      <c r="C52" s="32"/>
      <c r="D52" s="32"/>
      <c r="E52" s="32"/>
      <c r="F52" s="32"/>
    </row>
    <row r="53" spans="1:6" x14ac:dyDescent="0.25">
      <c r="A53" s="40" t="s">
        <v>149</v>
      </c>
      <c r="B53" s="40"/>
      <c r="C53" s="32"/>
      <c r="D53" s="32"/>
      <c r="E53" s="32"/>
      <c r="F53" s="32"/>
    </row>
    <row r="54" spans="1:6" x14ac:dyDescent="0.25">
      <c r="A54" s="40" t="s">
        <v>150</v>
      </c>
      <c r="B54" s="40"/>
      <c r="C54" s="32"/>
      <c r="D54" s="32"/>
      <c r="E54" s="32"/>
      <c r="F54" s="32"/>
    </row>
    <row r="55" spans="1:6" x14ac:dyDescent="0.25">
      <c r="A55" s="40" t="s">
        <v>151</v>
      </c>
      <c r="B55" s="40"/>
      <c r="C55" s="32"/>
      <c r="D55" s="32"/>
      <c r="E55" s="32"/>
      <c r="F55" s="32"/>
    </row>
    <row r="56" spans="1:6" x14ac:dyDescent="0.25">
      <c r="A56" s="40" t="s">
        <v>193</v>
      </c>
      <c r="B56" s="40"/>
      <c r="C56" s="32"/>
      <c r="D56" s="32"/>
      <c r="E56" s="32"/>
      <c r="F56" s="32"/>
    </row>
    <row r="57" spans="1:6" x14ac:dyDescent="0.25">
      <c r="A57" s="40" t="s">
        <v>194</v>
      </c>
      <c r="B57" s="40"/>
      <c r="C57" s="32"/>
      <c r="D57" s="32"/>
      <c r="E57" s="32"/>
      <c r="F57" s="32"/>
    </row>
    <row r="58" spans="1:6" x14ac:dyDescent="0.25">
      <c r="A58" s="40" t="s">
        <v>152</v>
      </c>
      <c r="B58" s="40"/>
      <c r="C58" s="32"/>
      <c r="D58" s="32"/>
      <c r="E58" s="32"/>
      <c r="F58" s="32"/>
    </row>
    <row r="59" spans="1:6" x14ac:dyDescent="0.25">
      <c r="A59" s="40" t="s">
        <v>153</v>
      </c>
      <c r="B59" s="40"/>
      <c r="C59" s="32"/>
      <c r="D59" s="32"/>
      <c r="E59" s="32"/>
      <c r="F59" s="32"/>
    </row>
    <row r="60" spans="1:6" x14ac:dyDescent="0.25">
      <c r="A60" s="40"/>
      <c r="B60" s="40"/>
      <c r="C60" s="32"/>
      <c r="D60" s="32"/>
      <c r="E60" s="32"/>
      <c r="F60" s="32"/>
    </row>
    <row r="61" spans="1:6" x14ac:dyDescent="0.25">
      <c r="A61" s="43" t="s">
        <v>195</v>
      </c>
      <c r="B61" s="40"/>
      <c r="C61" s="32"/>
      <c r="D61" s="32"/>
      <c r="E61" s="32"/>
      <c r="F61" s="32"/>
    </row>
    <row r="62" spans="1:6" x14ac:dyDescent="0.25">
      <c r="A62" s="40" t="s">
        <v>196</v>
      </c>
      <c r="B62" s="40"/>
      <c r="C62" s="32"/>
      <c r="D62" s="32"/>
      <c r="E62" s="32"/>
      <c r="F62" s="32"/>
    </row>
    <row r="63" spans="1:6" x14ac:dyDescent="0.25">
      <c r="A63" s="40" t="s">
        <v>197</v>
      </c>
      <c r="B63" s="40"/>
      <c r="C63" s="32"/>
      <c r="D63" s="32"/>
      <c r="E63" s="32"/>
      <c r="F63" s="32"/>
    </row>
    <row r="64" spans="1:6" x14ac:dyDescent="0.25">
      <c r="A64" s="40" t="s">
        <v>198</v>
      </c>
      <c r="B64" s="40"/>
      <c r="C64" s="32"/>
      <c r="D64" s="32"/>
      <c r="E64" s="32"/>
      <c r="F64" s="32"/>
    </row>
    <row r="65" spans="1:6" x14ac:dyDescent="0.25">
      <c r="A65" s="40" t="s">
        <v>199</v>
      </c>
      <c r="B65" s="40"/>
      <c r="C65" s="32"/>
      <c r="D65" s="32"/>
      <c r="E65" s="32"/>
      <c r="F65" s="32"/>
    </row>
    <row r="66" spans="1:6" x14ac:dyDescent="0.25">
      <c r="A66" s="40" t="s">
        <v>200</v>
      </c>
      <c r="B66" s="40"/>
      <c r="C66" s="32"/>
      <c r="D66" s="32"/>
      <c r="E66" s="32"/>
      <c r="F66" s="32"/>
    </row>
    <row r="67" spans="1:6" x14ac:dyDescent="0.25">
      <c r="A67" s="40" t="s">
        <v>201</v>
      </c>
      <c r="B67" s="40"/>
      <c r="C67" s="32"/>
      <c r="D67" s="32"/>
      <c r="E67" s="32"/>
      <c r="F67" s="32"/>
    </row>
    <row r="68" spans="1:6" x14ac:dyDescent="0.25">
      <c r="A68" s="40"/>
      <c r="B68" s="40"/>
      <c r="C68" s="32"/>
      <c r="D68" s="32"/>
      <c r="E68" s="32"/>
      <c r="F68" s="32"/>
    </row>
    <row r="69" spans="1:6" x14ac:dyDescent="0.25">
      <c r="A69" s="43" t="s">
        <v>202</v>
      </c>
      <c r="B69" s="40"/>
      <c r="C69" s="32"/>
      <c r="D69" s="32"/>
      <c r="E69" s="32"/>
      <c r="F69" s="32"/>
    </row>
    <row r="70" spans="1:6" x14ac:dyDescent="0.25">
      <c r="A70" s="40" t="s">
        <v>203</v>
      </c>
      <c r="B70" s="40"/>
      <c r="C70" s="32"/>
      <c r="D70" s="32"/>
      <c r="E70" s="32"/>
      <c r="F70" s="32"/>
    </row>
    <row r="71" spans="1:6" x14ac:dyDescent="0.25">
      <c r="A71" s="40" t="s">
        <v>204</v>
      </c>
      <c r="B71" s="40"/>
      <c r="C71" s="32"/>
      <c r="D71" s="32"/>
      <c r="E71" s="32"/>
      <c r="F71" s="32"/>
    </row>
    <row r="72" spans="1:6" x14ac:dyDescent="0.25">
      <c r="A72" s="40" t="s">
        <v>205</v>
      </c>
      <c r="B72" s="40"/>
      <c r="C72" s="32"/>
      <c r="D72" s="32"/>
      <c r="E72" s="32"/>
      <c r="F72" s="32"/>
    </row>
    <row r="73" spans="1:6" x14ac:dyDescent="0.25">
      <c r="A73" s="40" t="s">
        <v>206</v>
      </c>
      <c r="B73" s="40"/>
      <c r="C73" s="32"/>
      <c r="D73" s="32"/>
      <c r="E73" s="32"/>
      <c r="F73" s="32"/>
    </row>
    <row r="74" spans="1:6" x14ac:dyDescent="0.25">
      <c r="A74" s="40" t="s">
        <v>207</v>
      </c>
      <c r="B74" s="40"/>
      <c r="C74" s="32"/>
      <c r="D74" s="32"/>
      <c r="E74" s="32"/>
      <c r="F74" s="32"/>
    </row>
    <row r="75" spans="1:6" x14ac:dyDescent="0.25">
      <c r="A75" s="40"/>
      <c r="B75" s="40"/>
      <c r="C75" s="32"/>
      <c r="D75" s="32"/>
      <c r="E75" s="32"/>
      <c r="F75" s="32"/>
    </row>
    <row r="76" spans="1:6" x14ac:dyDescent="0.25">
      <c r="A76" s="43" t="s">
        <v>213</v>
      </c>
      <c r="B76" s="40"/>
      <c r="C76" s="32"/>
      <c r="D76" s="32"/>
      <c r="E76" s="32"/>
      <c r="F76" s="32"/>
    </row>
    <row r="77" spans="1:6" x14ac:dyDescent="0.25">
      <c r="A77" s="40" t="s">
        <v>214</v>
      </c>
      <c r="B77" s="40"/>
      <c r="C77" s="32"/>
      <c r="D77" s="32"/>
      <c r="E77" s="32"/>
      <c r="F77" s="32"/>
    </row>
    <row r="78" spans="1:6" x14ac:dyDescent="0.25">
      <c r="A78" s="40"/>
      <c r="B78" s="40"/>
      <c r="C78" s="32"/>
      <c r="D78" s="32"/>
      <c r="E78" s="32"/>
      <c r="F78" s="32"/>
    </row>
    <row r="79" spans="1:6" x14ac:dyDescent="0.25">
      <c r="A79" s="42" t="s">
        <v>154</v>
      </c>
      <c r="B79" s="40"/>
      <c r="C79" s="32"/>
      <c r="D79" s="32"/>
      <c r="E79" s="32"/>
      <c r="F79" s="32"/>
    </row>
    <row r="80" spans="1:6" x14ac:dyDescent="0.25">
      <c r="A80" s="44" t="s">
        <v>155</v>
      </c>
      <c r="B80" s="44" t="s">
        <v>156</v>
      </c>
      <c r="C80" s="32"/>
      <c r="D80" s="32"/>
      <c r="E80" s="32"/>
      <c r="F80" s="32"/>
    </row>
    <row r="81" spans="1:6" x14ac:dyDescent="0.25">
      <c r="A81" s="40">
        <v>11</v>
      </c>
      <c r="B81" s="40" t="s">
        <v>157</v>
      </c>
      <c r="C81" s="32"/>
      <c r="D81" s="32"/>
      <c r="E81" s="32"/>
      <c r="F81" s="32"/>
    </row>
    <row r="82" spans="1:6" x14ac:dyDescent="0.25">
      <c r="A82" s="40">
        <v>6</v>
      </c>
      <c r="B82" s="40" t="s">
        <v>158</v>
      </c>
      <c r="C82" s="32"/>
      <c r="D82" s="32"/>
      <c r="E82" s="32"/>
      <c r="F82" s="32"/>
    </row>
    <row r="83" spans="1:6" x14ac:dyDescent="0.25">
      <c r="A83" s="40">
        <v>66</v>
      </c>
      <c r="B83" s="40" t="s">
        <v>159</v>
      </c>
      <c r="C83" s="32"/>
      <c r="D83" s="32"/>
      <c r="E83" s="32"/>
      <c r="F83" s="32"/>
    </row>
    <row r="84" spans="1:6" x14ac:dyDescent="0.25">
      <c r="A84" s="40"/>
      <c r="B84" s="40"/>
      <c r="C84" s="32"/>
      <c r="D84" s="32"/>
      <c r="E84" s="32"/>
      <c r="F84" s="32"/>
    </row>
    <row r="85" spans="1:6" x14ac:dyDescent="0.25">
      <c r="A85" s="42" t="s">
        <v>160</v>
      </c>
      <c r="B85" s="40"/>
    </row>
    <row r="86" spans="1:6" x14ac:dyDescent="0.25">
      <c r="A86" s="40"/>
      <c r="B86" s="40"/>
    </row>
    <row r="87" spans="1:6" x14ac:dyDescent="0.25">
      <c r="A87" s="40" t="s">
        <v>161</v>
      </c>
      <c r="B87" s="40"/>
    </row>
    <row r="88" spans="1:6" x14ac:dyDescent="0.25">
      <c r="A88" s="40" t="s">
        <v>162</v>
      </c>
      <c r="B88" s="40"/>
    </row>
    <row r="89" spans="1:6" x14ac:dyDescent="0.25">
      <c r="A89" s="40"/>
      <c r="B89" s="40"/>
    </row>
    <row r="90" spans="1:6" x14ac:dyDescent="0.25">
      <c r="A90" s="40" t="s">
        <v>163</v>
      </c>
      <c r="B90" s="40"/>
    </row>
    <row r="91" spans="1:6" x14ac:dyDescent="0.25">
      <c r="A91" s="40" t="s">
        <v>164</v>
      </c>
      <c r="B91" s="40"/>
    </row>
    <row r="92" spans="1:6" x14ac:dyDescent="0.25">
      <c r="A92" s="40"/>
      <c r="B92" s="40"/>
    </row>
    <row r="93" spans="1:6" x14ac:dyDescent="0.25">
      <c r="A93" s="40" t="s">
        <v>165</v>
      </c>
      <c r="B93" s="40"/>
    </row>
    <row r="94" spans="1:6" x14ac:dyDescent="0.25">
      <c r="A94" s="40" t="s">
        <v>166</v>
      </c>
      <c r="B94" s="40"/>
    </row>
    <row r="95" spans="1:6" x14ac:dyDescent="0.25">
      <c r="A95" s="40" t="s">
        <v>167</v>
      </c>
      <c r="B95" s="40"/>
    </row>
    <row r="96" spans="1:6" x14ac:dyDescent="0.25">
      <c r="A96" s="40" t="s">
        <v>168</v>
      </c>
      <c r="B96" s="40"/>
    </row>
    <row r="97" spans="1:2" x14ac:dyDescent="0.25">
      <c r="A97" s="40" t="s">
        <v>169</v>
      </c>
      <c r="B97" s="40"/>
    </row>
    <row r="98" spans="1:2" x14ac:dyDescent="0.25">
      <c r="A98" s="40" t="s">
        <v>170</v>
      </c>
      <c r="B98" s="40"/>
    </row>
    <row r="99" spans="1:2" x14ac:dyDescent="0.25">
      <c r="A99" s="40" t="s">
        <v>171</v>
      </c>
      <c r="B99" s="40"/>
    </row>
    <row r="100" spans="1:2" x14ac:dyDescent="0.25">
      <c r="A100" s="40" t="s">
        <v>172</v>
      </c>
      <c r="B100" s="40"/>
    </row>
    <row r="101" spans="1:2" x14ac:dyDescent="0.25">
      <c r="A101" s="40" t="s">
        <v>173</v>
      </c>
      <c r="B101" s="40"/>
    </row>
    <row r="102" spans="1:2" x14ac:dyDescent="0.25">
      <c r="A102" s="40" t="s">
        <v>174</v>
      </c>
      <c r="B102" s="40"/>
    </row>
    <row r="103" spans="1:2" x14ac:dyDescent="0.25">
      <c r="A103" s="40"/>
      <c r="B103" s="40"/>
    </row>
    <row r="104" spans="1:2" x14ac:dyDescent="0.25">
      <c r="A104" s="42" t="s">
        <v>215</v>
      </c>
      <c r="B104" s="40"/>
    </row>
    <row r="105" spans="1:2" x14ac:dyDescent="0.25">
      <c r="A105" s="40"/>
      <c r="B105" s="40"/>
    </row>
    <row r="106" spans="1:2" x14ac:dyDescent="0.25">
      <c r="A106" s="40" t="s">
        <v>216</v>
      </c>
      <c r="B106" s="40"/>
    </row>
    <row r="107" spans="1:2" x14ac:dyDescent="0.25">
      <c r="A107" s="40" t="s">
        <v>217</v>
      </c>
      <c r="B107" s="40"/>
    </row>
    <row r="108" spans="1:2" x14ac:dyDescent="0.25">
      <c r="A108" s="40"/>
      <c r="B108" s="40"/>
    </row>
    <row r="109" spans="1:2" x14ac:dyDescent="0.25">
      <c r="A109" s="43" t="s">
        <v>218</v>
      </c>
      <c r="B109" s="40"/>
    </row>
    <row r="110" spans="1:2" x14ac:dyDescent="0.25">
      <c r="A110" s="40" t="s">
        <v>219</v>
      </c>
      <c r="B110" s="40"/>
    </row>
    <row r="111" spans="1:2" x14ac:dyDescent="0.25">
      <c r="A111" s="40" t="s">
        <v>220</v>
      </c>
      <c r="B111" s="40"/>
    </row>
    <row r="112" spans="1:2" x14ac:dyDescent="0.25">
      <c r="A112" s="40" t="s">
        <v>221</v>
      </c>
      <c r="B112" s="40"/>
    </row>
    <row r="113" spans="1:2" x14ac:dyDescent="0.25">
      <c r="A113" s="40" t="s">
        <v>222</v>
      </c>
      <c r="B113" s="40"/>
    </row>
    <row r="114" spans="1:2" x14ac:dyDescent="0.25">
      <c r="A114" s="40" t="s">
        <v>223</v>
      </c>
      <c r="B114" s="40"/>
    </row>
    <row r="115" spans="1:2" x14ac:dyDescent="0.25">
      <c r="A115" s="40"/>
      <c r="B115" s="40"/>
    </row>
    <row r="116" spans="1:2" x14ac:dyDescent="0.25">
      <c r="A116" s="43" t="s">
        <v>224</v>
      </c>
      <c r="B116" s="40"/>
    </row>
    <row r="117" spans="1:2" x14ac:dyDescent="0.25">
      <c r="A117" s="40" t="s">
        <v>225</v>
      </c>
      <c r="B117" s="40"/>
    </row>
    <row r="118" spans="1:2" x14ac:dyDescent="0.25">
      <c r="A118" s="40" t="s">
        <v>226</v>
      </c>
      <c r="B118" s="40"/>
    </row>
    <row r="119" spans="1:2" x14ac:dyDescent="0.25">
      <c r="A119" s="40" t="s">
        <v>227</v>
      </c>
      <c r="B119" s="40"/>
    </row>
    <row r="120" spans="1:2" x14ac:dyDescent="0.25">
      <c r="A120" s="40" t="s">
        <v>228</v>
      </c>
      <c r="B120" s="40"/>
    </row>
    <row r="121" spans="1:2" x14ac:dyDescent="0.25">
      <c r="A121" s="40" t="s">
        <v>229</v>
      </c>
      <c r="B121" s="40"/>
    </row>
    <row r="122" spans="1:2" x14ac:dyDescent="0.25">
      <c r="A122" s="40" t="s">
        <v>230</v>
      </c>
      <c r="B122" s="40"/>
    </row>
    <row r="123" spans="1:2" x14ac:dyDescent="0.25">
      <c r="A123" s="40" t="s">
        <v>231</v>
      </c>
      <c r="B123" s="40"/>
    </row>
    <row r="124" spans="1:2" x14ac:dyDescent="0.25">
      <c r="A124" s="40" t="s">
        <v>232</v>
      </c>
      <c r="B124" s="40"/>
    </row>
    <row r="125" spans="1:2" x14ac:dyDescent="0.25">
      <c r="A125" s="40" t="s">
        <v>233</v>
      </c>
      <c r="B125" s="40"/>
    </row>
    <row r="126" spans="1:2" x14ac:dyDescent="0.25">
      <c r="A126" s="40"/>
      <c r="B126" s="40"/>
    </row>
    <row r="127" spans="1:2" x14ac:dyDescent="0.25">
      <c r="A127" s="42" t="s">
        <v>175</v>
      </c>
      <c r="B127" s="40"/>
    </row>
    <row r="128" spans="1:2" x14ac:dyDescent="0.25">
      <c r="A128" s="40" t="s">
        <v>176</v>
      </c>
      <c r="B128" s="40"/>
    </row>
    <row r="129" spans="1:2" x14ac:dyDescent="0.25">
      <c r="A129" s="40" t="s">
        <v>208</v>
      </c>
      <c r="B129" s="40"/>
    </row>
    <row r="130" spans="1:2" x14ac:dyDescent="0.25">
      <c r="A130" s="40" t="s">
        <v>209</v>
      </c>
      <c r="B130" s="40"/>
    </row>
    <row r="131" spans="1:2" x14ac:dyDescent="0.25">
      <c r="A131" s="40" t="s">
        <v>177</v>
      </c>
      <c r="B131" s="40"/>
    </row>
    <row r="132" spans="1:2" x14ac:dyDescent="0.25">
      <c r="A132" s="40" t="s">
        <v>210</v>
      </c>
      <c r="B132" s="40"/>
    </row>
    <row r="133" spans="1:2" x14ac:dyDescent="0.25">
      <c r="A133" s="40" t="s">
        <v>211</v>
      </c>
      <c r="B133" s="40"/>
    </row>
    <row r="134" spans="1:2" x14ac:dyDescent="0.25">
      <c r="A134" s="40" t="s">
        <v>178</v>
      </c>
      <c r="B134" s="40"/>
    </row>
    <row r="135" spans="1:2" x14ac:dyDescent="0.25">
      <c r="A135" s="40" t="s">
        <v>234</v>
      </c>
    </row>
    <row r="138" spans="1:2" x14ac:dyDescent="0.25">
      <c r="A138" s="133" t="s">
        <v>277</v>
      </c>
    </row>
    <row r="140" spans="1:2" x14ac:dyDescent="0.25">
      <c r="A140" t="s">
        <v>278</v>
      </c>
    </row>
    <row r="141" spans="1:2" x14ac:dyDescent="0.25">
      <c r="A141" t="s">
        <v>279</v>
      </c>
    </row>
    <row r="143" spans="1:2" x14ac:dyDescent="0.25">
      <c r="A143" s="57" t="s">
        <v>280</v>
      </c>
    </row>
    <row r="145" spans="1:1" x14ac:dyDescent="0.25">
      <c r="A145" s="57" t="s">
        <v>281</v>
      </c>
    </row>
    <row r="146" spans="1:1" x14ac:dyDescent="0.25">
      <c r="A146" t="s">
        <v>282</v>
      </c>
    </row>
    <row r="147" spans="1:1" x14ac:dyDescent="0.25">
      <c r="A147" t="s">
        <v>283</v>
      </c>
    </row>
    <row r="149" spans="1:1" x14ac:dyDescent="0.25">
      <c r="A149" s="57" t="s">
        <v>284</v>
      </c>
    </row>
    <row r="150" spans="1:1" x14ac:dyDescent="0.25">
      <c r="A150" t="s">
        <v>285</v>
      </c>
    </row>
    <row r="151" spans="1:1" x14ac:dyDescent="0.25">
      <c r="A151" t="s">
        <v>286</v>
      </c>
    </row>
    <row r="152" spans="1:1" x14ac:dyDescent="0.25">
      <c r="A152" t="s">
        <v>287</v>
      </c>
    </row>
    <row r="153" spans="1:1" x14ac:dyDescent="0.25">
      <c r="A153" t="s">
        <v>288</v>
      </c>
    </row>
    <row r="155" spans="1:1" x14ac:dyDescent="0.25">
      <c r="A155" s="57" t="s">
        <v>289</v>
      </c>
    </row>
    <row r="156" spans="1:1" x14ac:dyDescent="0.25">
      <c r="A156" t="s">
        <v>290</v>
      </c>
    </row>
    <row r="157" spans="1:1" x14ac:dyDescent="0.25">
      <c r="A157" t="s">
        <v>291</v>
      </c>
    </row>
    <row r="158" spans="1:1" x14ac:dyDescent="0.25">
      <c r="A158" t="s">
        <v>292</v>
      </c>
    </row>
    <row r="160" spans="1:1" x14ac:dyDescent="0.25">
      <c r="A160" s="57" t="s">
        <v>293</v>
      </c>
    </row>
    <row r="161" spans="1:1" x14ac:dyDescent="0.25">
      <c r="A161" t="s">
        <v>294</v>
      </c>
    </row>
    <row r="162" spans="1:1" x14ac:dyDescent="0.25">
      <c r="A162" t="s">
        <v>295</v>
      </c>
    </row>
    <row r="163" spans="1:1" x14ac:dyDescent="0.25">
      <c r="A163" t="s">
        <v>296</v>
      </c>
    </row>
    <row r="164" spans="1:1" x14ac:dyDescent="0.25">
      <c r="A164" t="s">
        <v>297</v>
      </c>
    </row>
    <row r="165" spans="1:1" x14ac:dyDescent="0.25">
      <c r="A165" t="s">
        <v>298</v>
      </c>
    </row>
    <row r="166" spans="1:1" x14ac:dyDescent="0.25">
      <c r="A166" t="s">
        <v>299</v>
      </c>
    </row>
    <row r="168" spans="1:1" x14ac:dyDescent="0.25">
      <c r="A168" s="57" t="s">
        <v>300</v>
      </c>
    </row>
    <row r="169" spans="1:1" x14ac:dyDescent="0.25">
      <c r="A169" t="s">
        <v>301</v>
      </c>
    </row>
    <row r="170" spans="1:1" x14ac:dyDescent="0.25">
      <c r="A170" t="s">
        <v>302</v>
      </c>
    </row>
    <row r="171" spans="1:1" x14ac:dyDescent="0.25">
      <c r="A171" t="s">
        <v>303</v>
      </c>
    </row>
    <row r="172" spans="1:1" x14ac:dyDescent="0.25">
      <c r="A172" t="s">
        <v>304</v>
      </c>
    </row>
    <row r="174" spans="1:1" x14ac:dyDescent="0.25">
      <c r="A174" s="57" t="s">
        <v>305</v>
      </c>
    </row>
    <row r="175" spans="1:1" x14ac:dyDescent="0.25">
      <c r="A175" t="s">
        <v>306</v>
      </c>
    </row>
    <row r="176" spans="1:1" x14ac:dyDescent="0.25">
      <c r="A176" t="s">
        <v>307</v>
      </c>
    </row>
    <row r="177" spans="1:1" x14ac:dyDescent="0.25">
      <c r="A177" t="s">
        <v>308</v>
      </c>
    </row>
    <row r="179" spans="1:1" x14ac:dyDescent="0.25">
      <c r="A179" t="s">
        <v>235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5"/>
  <sheetViews>
    <sheetView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168" sqref="P168"/>
    </sheetView>
  </sheetViews>
  <sheetFormatPr defaultRowHeight="15" x14ac:dyDescent="0.25"/>
  <cols>
    <col min="1" max="1" width="4.7109375" customWidth="1"/>
    <col min="2" max="2" width="16.7109375" customWidth="1"/>
    <col min="3" max="3" width="22.7109375" customWidth="1"/>
    <col min="4" max="4" width="26.7109375" customWidth="1"/>
    <col min="5" max="10" width="16.7109375" customWidth="1"/>
    <col min="18" max="26" width="12.7109375" customWidth="1"/>
    <col min="27" max="27" width="3.7109375" customWidth="1"/>
    <col min="28" max="31" width="12.7109375" customWidth="1"/>
  </cols>
  <sheetData>
    <row r="1" spans="2:31" ht="24" thickBot="1" x14ac:dyDescent="0.4">
      <c r="B1" s="1" t="s">
        <v>0</v>
      </c>
      <c r="C1" s="1" t="s">
        <v>1</v>
      </c>
    </row>
    <row r="2" spans="2:31" ht="15.75" x14ac:dyDescent="0.25">
      <c r="B2" s="2"/>
      <c r="C2" s="30">
        <f ca="1">TODAY()</f>
        <v>46292</v>
      </c>
    </row>
    <row r="4" spans="2:31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2:31" x14ac:dyDescent="0.25">
      <c r="B5" s="4" t="s">
        <v>24</v>
      </c>
      <c r="C5" s="5">
        <f>D5+J5</f>
        <v>0</v>
      </c>
      <c r="D5" s="5">
        <f>SUM(E5:I5)</f>
        <v>0</v>
      </c>
      <c r="E5" s="5">
        <f>S44+T44</f>
        <v>0</v>
      </c>
      <c r="F5" s="5">
        <f>U44+V44</f>
        <v>0</v>
      </c>
      <c r="G5" s="5">
        <f>W44+X44</f>
        <v>0</v>
      </c>
      <c r="H5" s="5">
        <f>Y44+Z44</f>
        <v>0</v>
      </c>
      <c r="I5" s="5">
        <f>AB44+AC44</f>
        <v>0</v>
      </c>
      <c r="J5" s="5">
        <f>AD44+AE44</f>
        <v>0</v>
      </c>
    </row>
    <row r="6" spans="2:31" x14ac:dyDescent="0.25">
      <c r="B6" s="4" t="s">
        <v>30</v>
      </c>
      <c r="C6" s="5">
        <f>D6+J6</f>
        <v>0</v>
      </c>
      <c r="D6" s="5">
        <f>SUM(E6:I6)</f>
        <v>0</v>
      </c>
      <c r="E6" s="5">
        <f>S77+T77</f>
        <v>0</v>
      </c>
      <c r="F6" s="5">
        <f>U77+V77</f>
        <v>0</v>
      </c>
      <c r="G6" s="5">
        <f>W77+X77</f>
        <v>0</v>
      </c>
      <c r="H6" s="5">
        <f>Y77+Z77</f>
        <v>0</v>
      </c>
      <c r="I6" s="5">
        <f>AB77+AC77</f>
        <v>0</v>
      </c>
      <c r="J6" s="5">
        <f>AD77+AE77</f>
        <v>0</v>
      </c>
    </row>
    <row r="7" spans="2:31" x14ac:dyDescent="0.25">
      <c r="B7" s="4" t="s">
        <v>33</v>
      </c>
      <c r="C7" s="5">
        <f>D7+J7</f>
        <v>0</v>
      </c>
      <c r="D7" s="5">
        <f>SUM(E7:I7)</f>
        <v>0</v>
      </c>
      <c r="E7" s="5">
        <f>S109+T109</f>
        <v>0</v>
      </c>
      <c r="F7" s="5">
        <f>U109+V109</f>
        <v>0</v>
      </c>
      <c r="G7" s="5">
        <f>W109+X109</f>
        <v>0</v>
      </c>
      <c r="H7" s="5">
        <f>Y109+Z109</f>
        <v>0</v>
      </c>
      <c r="I7" s="5">
        <f>AB109+AC109</f>
        <v>0</v>
      </c>
      <c r="J7" s="5">
        <f>AD109+AE109</f>
        <v>0</v>
      </c>
    </row>
    <row r="8" spans="2:31" x14ac:dyDescent="0.25">
      <c r="B8" s="4" t="s">
        <v>36</v>
      </c>
      <c r="C8" s="5">
        <f>D8+J8</f>
        <v>0</v>
      </c>
      <c r="D8" s="5">
        <f>SUM(E8:I8)</f>
        <v>0</v>
      </c>
      <c r="E8" s="5">
        <f>S141+T141</f>
        <v>0</v>
      </c>
      <c r="F8" s="5">
        <f>U141+V141</f>
        <v>0</v>
      </c>
      <c r="G8" s="5">
        <f>W141+X141</f>
        <v>0</v>
      </c>
      <c r="H8" s="5">
        <f>Y141+Z141</f>
        <v>0</v>
      </c>
      <c r="I8" s="5">
        <f>AB141+AC141</f>
        <v>0</v>
      </c>
      <c r="J8" s="5">
        <f>AD141+AE141</f>
        <v>0</v>
      </c>
    </row>
    <row r="9" spans="2:31" x14ac:dyDescent="0.25">
      <c r="B9" s="4" t="s">
        <v>39</v>
      </c>
      <c r="C9" s="5">
        <f>D9+J9</f>
        <v>0</v>
      </c>
      <c r="D9" s="5">
        <f>SUM(E9:I9)</f>
        <v>0</v>
      </c>
      <c r="E9" s="5">
        <f>S173+T173</f>
        <v>0</v>
      </c>
      <c r="F9" s="5">
        <f>U173+V173</f>
        <v>0</v>
      </c>
      <c r="G9" s="5">
        <f>W173+X173</f>
        <v>0</v>
      </c>
      <c r="H9" s="5">
        <f>Y173+Z173</f>
        <v>0</v>
      </c>
      <c r="I9" s="5">
        <f>AB173+AC173</f>
        <v>0</v>
      </c>
      <c r="J9" s="5">
        <f>AD173+AE173</f>
        <v>0</v>
      </c>
    </row>
    <row r="10" spans="2:31" x14ac:dyDescent="0.25">
      <c r="B10" s="6" t="s">
        <v>40</v>
      </c>
      <c r="C10" s="6">
        <f t="shared" ref="C10:J10" si="0">SUM(C5:C9)</f>
        <v>0</v>
      </c>
      <c r="D10" s="6">
        <f t="shared" si="0"/>
        <v>0</v>
      </c>
      <c r="E10" s="6">
        <f t="shared" si="0"/>
        <v>0</v>
      </c>
      <c r="F10" s="6">
        <f t="shared" si="0"/>
        <v>0</v>
      </c>
      <c r="G10" s="6">
        <f t="shared" si="0"/>
        <v>0</v>
      </c>
      <c r="H10" s="6">
        <f t="shared" si="0"/>
        <v>0</v>
      </c>
      <c r="I10" s="6">
        <f t="shared" si="0"/>
        <v>0</v>
      </c>
      <c r="J10" s="6">
        <f t="shared" si="0"/>
        <v>0</v>
      </c>
    </row>
    <row r="13" spans="2:31" ht="18.75" x14ac:dyDescent="0.3">
      <c r="S13" s="7" t="s">
        <v>11</v>
      </c>
    </row>
    <row r="14" spans="2:31" x14ac:dyDescent="0.25">
      <c r="S14" s="8" t="s">
        <v>12</v>
      </c>
      <c r="U14" s="8" t="s">
        <v>13</v>
      </c>
      <c r="W14" s="8" t="s">
        <v>14</v>
      </c>
      <c r="Y14" s="8" t="s">
        <v>15</v>
      </c>
      <c r="AB14" s="9" t="s">
        <v>16</v>
      </c>
      <c r="AD14" s="10" t="s">
        <v>10</v>
      </c>
    </row>
    <row r="15" spans="2:31" x14ac:dyDescent="0.25">
      <c r="S15" s="11" t="s">
        <v>17</v>
      </c>
      <c r="U15" s="11" t="s">
        <v>18</v>
      </c>
      <c r="W15" s="11" t="s">
        <v>19</v>
      </c>
      <c r="Y15" s="11" t="s">
        <v>20</v>
      </c>
      <c r="AB15" s="11" t="s">
        <v>21</v>
      </c>
      <c r="AD15" s="11" t="s">
        <v>21</v>
      </c>
    </row>
    <row r="16" spans="2:31" x14ac:dyDescent="0.25">
      <c r="S16" s="12" t="s">
        <v>22</v>
      </c>
      <c r="T16" s="12" t="s">
        <v>23</v>
      </c>
      <c r="U16" s="12" t="s">
        <v>22</v>
      </c>
      <c r="V16" s="12" t="s">
        <v>23</v>
      </c>
      <c r="W16" s="12" t="s">
        <v>22</v>
      </c>
      <c r="X16" s="12" t="s">
        <v>23</v>
      </c>
      <c r="Y16" s="12" t="s">
        <v>22</v>
      </c>
      <c r="Z16" s="12" t="s">
        <v>23</v>
      </c>
      <c r="AB16" s="12" t="s">
        <v>22</v>
      </c>
      <c r="AC16" s="12" t="s">
        <v>23</v>
      </c>
      <c r="AD16" s="12" t="s">
        <v>22</v>
      </c>
      <c r="AE16" s="12" t="s">
        <v>23</v>
      </c>
    </row>
    <row r="17" spans="19:31" x14ac:dyDescent="0.25"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B17" s="49">
        <v>0</v>
      </c>
      <c r="AC17" s="49">
        <v>0</v>
      </c>
      <c r="AD17" s="49">
        <v>0</v>
      </c>
      <c r="AE17" s="49">
        <v>0</v>
      </c>
    </row>
    <row r="18" spans="19:31" x14ac:dyDescent="0.25"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B18" s="49">
        <v>0</v>
      </c>
      <c r="AC18" s="49">
        <v>0</v>
      </c>
      <c r="AD18" s="49">
        <v>0</v>
      </c>
      <c r="AE18" s="49">
        <v>0</v>
      </c>
    </row>
    <row r="19" spans="19:31" x14ac:dyDescent="0.25">
      <c r="S19" s="49">
        <v>0</v>
      </c>
      <c r="T19" s="49">
        <v>0</v>
      </c>
      <c r="U19" s="49">
        <v>0</v>
      </c>
      <c r="V19" s="49">
        <v>0</v>
      </c>
      <c r="W19" s="49">
        <v>0</v>
      </c>
      <c r="X19" s="49">
        <v>0</v>
      </c>
      <c r="Y19" s="49">
        <v>0</v>
      </c>
      <c r="Z19" s="49">
        <v>0</v>
      </c>
      <c r="AB19" s="49">
        <v>0</v>
      </c>
      <c r="AC19" s="49">
        <v>0</v>
      </c>
      <c r="AD19" s="49">
        <v>0</v>
      </c>
      <c r="AE19" s="49">
        <v>0</v>
      </c>
    </row>
    <row r="20" spans="19:31" x14ac:dyDescent="0.25"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0</v>
      </c>
      <c r="AB20" s="49">
        <v>0</v>
      </c>
      <c r="AC20" s="49">
        <v>0</v>
      </c>
      <c r="AD20" s="49">
        <v>0</v>
      </c>
      <c r="AE20" s="49">
        <v>0</v>
      </c>
    </row>
    <row r="21" spans="19:31" x14ac:dyDescent="0.25"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B21" s="49">
        <v>0</v>
      </c>
      <c r="AC21" s="49">
        <v>0</v>
      </c>
      <c r="AD21" s="49">
        <v>0</v>
      </c>
      <c r="AE21" s="49">
        <v>0</v>
      </c>
    </row>
    <row r="22" spans="19:31" x14ac:dyDescent="0.25"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B22" s="49">
        <v>0</v>
      </c>
      <c r="AC22" s="49">
        <v>0</v>
      </c>
      <c r="AD22" s="49">
        <v>0</v>
      </c>
      <c r="AE22" s="49">
        <v>0</v>
      </c>
    </row>
    <row r="23" spans="19:31" x14ac:dyDescent="0.25"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B23" s="49">
        <v>0</v>
      </c>
      <c r="AC23" s="49">
        <v>0</v>
      </c>
      <c r="AD23" s="49">
        <v>0</v>
      </c>
      <c r="AE23" s="49">
        <v>0</v>
      </c>
    </row>
    <row r="24" spans="19:31" x14ac:dyDescent="0.25"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B24" s="49">
        <v>0</v>
      </c>
      <c r="AC24" s="49">
        <v>0</v>
      </c>
      <c r="AD24" s="49">
        <v>0</v>
      </c>
      <c r="AE24" s="49">
        <v>0</v>
      </c>
    </row>
    <row r="25" spans="19:31" x14ac:dyDescent="0.25"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B25" s="49">
        <v>0</v>
      </c>
      <c r="AC25" s="49">
        <v>0</v>
      </c>
      <c r="AD25" s="49">
        <v>0</v>
      </c>
      <c r="AE25" s="49">
        <v>0</v>
      </c>
    </row>
    <row r="26" spans="19:31" x14ac:dyDescent="0.25">
      <c r="S26" s="49">
        <v>0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49">
        <v>0</v>
      </c>
      <c r="Z26" s="49">
        <v>0</v>
      </c>
      <c r="AB26" s="49">
        <v>0</v>
      </c>
      <c r="AC26" s="49">
        <v>0</v>
      </c>
      <c r="AD26" s="49">
        <v>0</v>
      </c>
      <c r="AE26" s="49">
        <v>0</v>
      </c>
    </row>
    <row r="27" spans="19:31" x14ac:dyDescent="0.25"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B27" s="49">
        <v>0</v>
      </c>
      <c r="AC27" s="49">
        <v>0</v>
      </c>
      <c r="AD27" s="49">
        <v>0</v>
      </c>
      <c r="AE27" s="49">
        <v>0</v>
      </c>
    </row>
    <row r="28" spans="19:31" x14ac:dyDescent="0.25"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B28" s="49">
        <v>0</v>
      </c>
      <c r="AC28" s="49">
        <v>0</v>
      </c>
      <c r="AD28" s="49">
        <v>0</v>
      </c>
      <c r="AE28" s="49">
        <v>0</v>
      </c>
    </row>
    <row r="29" spans="19:31" x14ac:dyDescent="0.25">
      <c r="S29" s="49">
        <v>0</v>
      </c>
      <c r="T29" s="49">
        <v>0</v>
      </c>
      <c r="U29" s="49">
        <v>0</v>
      </c>
      <c r="V29" s="49">
        <v>0</v>
      </c>
      <c r="W29" s="49">
        <v>0</v>
      </c>
      <c r="X29" s="49">
        <v>0</v>
      </c>
      <c r="Y29" s="49">
        <v>0</v>
      </c>
      <c r="Z29" s="49">
        <v>0</v>
      </c>
      <c r="AB29" s="49">
        <v>0</v>
      </c>
      <c r="AC29" s="49">
        <v>0</v>
      </c>
      <c r="AD29" s="49">
        <v>0</v>
      </c>
      <c r="AE29" s="49">
        <v>0</v>
      </c>
    </row>
    <row r="30" spans="19:31" x14ac:dyDescent="0.25"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B30" s="49">
        <v>0</v>
      </c>
      <c r="AC30" s="49">
        <v>0</v>
      </c>
      <c r="AD30" s="49">
        <v>0</v>
      </c>
      <c r="AE30" s="49">
        <v>0</v>
      </c>
    </row>
    <row r="31" spans="19:31" x14ac:dyDescent="0.25"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B31" s="49">
        <v>0</v>
      </c>
      <c r="AC31" s="49">
        <v>0</v>
      </c>
      <c r="AD31" s="49">
        <v>0</v>
      </c>
      <c r="AE31" s="49">
        <v>0</v>
      </c>
    </row>
    <row r="32" spans="19:31" x14ac:dyDescent="0.25"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B32" s="49">
        <v>0</v>
      </c>
      <c r="AC32" s="49">
        <v>0</v>
      </c>
      <c r="AD32" s="49">
        <v>0</v>
      </c>
      <c r="AE32" s="49">
        <v>0</v>
      </c>
    </row>
    <row r="33" spans="19:31" x14ac:dyDescent="0.25">
      <c r="S33" s="49">
        <v>0</v>
      </c>
      <c r="T33" s="49">
        <v>0</v>
      </c>
      <c r="U33" s="49">
        <v>0</v>
      </c>
      <c r="V33" s="49">
        <v>0</v>
      </c>
      <c r="W33" s="49">
        <v>0</v>
      </c>
      <c r="X33" s="49">
        <v>0</v>
      </c>
      <c r="Y33" s="49">
        <v>0</v>
      </c>
      <c r="Z33" s="49">
        <v>0</v>
      </c>
      <c r="AB33" s="49">
        <v>0</v>
      </c>
      <c r="AC33" s="49">
        <v>0</v>
      </c>
      <c r="AD33" s="49">
        <v>0</v>
      </c>
      <c r="AE33" s="49">
        <v>0</v>
      </c>
    </row>
    <row r="34" spans="19:31" x14ac:dyDescent="0.25">
      <c r="S34" s="49">
        <v>0</v>
      </c>
      <c r="T34" s="49">
        <v>0</v>
      </c>
      <c r="U34" s="49">
        <v>0</v>
      </c>
      <c r="V34" s="49">
        <v>0</v>
      </c>
      <c r="W34" s="49">
        <v>0</v>
      </c>
      <c r="X34" s="49">
        <v>0</v>
      </c>
      <c r="Y34" s="49">
        <v>0</v>
      </c>
      <c r="Z34" s="49">
        <v>0</v>
      </c>
      <c r="AB34" s="49">
        <v>0</v>
      </c>
      <c r="AC34" s="49">
        <v>0</v>
      </c>
      <c r="AD34" s="49">
        <v>0</v>
      </c>
      <c r="AE34" s="49">
        <v>0</v>
      </c>
    </row>
    <row r="35" spans="19:31" x14ac:dyDescent="0.25">
      <c r="S35" s="49">
        <v>0</v>
      </c>
      <c r="T35" s="49">
        <v>0</v>
      </c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B35" s="49">
        <v>0</v>
      </c>
      <c r="AC35" s="49">
        <v>0</v>
      </c>
      <c r="AD35" s="49">
        <v>0</v>
      </c>
      <c r="AE35" s="49">
        <v>0</v>
      </c>
    </row>
    <row r="36" spans="19:31" x14ac:dyDescent="0.25">
      <c r="S36" s="49">
        <v>0</v>
      </c>
      <c r="T36" s="49">
        <v>0</v>
      </c>
      <c r="U36" s="49">
        <v>0</v>
      </c>
      <c r="V36" s="49">
        <v>0</v>
      </c>
      <c r="W36" s="49">
        <v>0</v>
      </c>
      <c r="X36" s="49">
        <v>0</v>
      </c>
      <c r="Y36" s="49">
        <v>0</v>
      </c>
      <c r="Z36" s="49">
        <v>0</v>
      </c>
      <c r="AB36" s="49">
        <v>0</v>
      </c>
      <c r="AC36" s="49">
        <v>0</v>
      </c>
      <c r="AD36" s="49">
        <v>0</v>
      </c>
      <c r="AE36" s="49">
        <v>0</v>
      </c>
    </row>
    <row r="37" spans="19:31" x14ac:dyDescent="0.25"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B37" s="49">
        <v>0</v>
      </c>
      <c r="AC37" s="49">
        <v>0</v>
      </c>
      <c r="AD37" s="49">
        <v>0</v>
      </c>
      <c r="AE37" s="49">
        <v>0</v>
      </c>
    </row>
    <row r="38" spans="19:31" x14ac:dyDescent="0.25"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B38" s="49">
        <v>0</v>
      </c>
      <c r="AC38" s="49">
        <v>0</v>
      </c>
      <c r="AD38" s="49">
        <v>0</v>
      </c>
      <c r="AE38" s="49">
        <v>0</v>
      </c>
    </row>
    <row r="39" spans="19:31" x14ac:dyDescent="0.25"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0</v>
      </c>
      <c r="AB39" s="49">
        <v>0</v>
      </c>
      <c r="AC39" s="49">
        <v>0</v>
      </c>
      <c r="AD39" s="49">
        <v>0</v>
      </c>
      <c r="AE39" s="49">
        <v>0</v>
      </c>
    </row>
    <row r="40" spans="19:31" x14ac:dyDescent="0.25">
      <c r="S40" s="49">
        <v>0</v>
      </c>
      <c r="T40" s="49">
        <v>0</v>
      </c>
      <c r="U40" s="49">
        <v>0</v>
      </c>
      <c r="V40" s="49">
        <v>0</v>
      </c>
      <c r="W40" s="49">
        <v>0</v>
      </c>
      <c r="X40" s="49">
        <v>0</v>
      </c>
      <c r="Y40" s="49">
        <v>0</v>
      </c>
      <c r="Z40" s="49">
        <v>0</v>
      </c>
      <c r="AB40" s="49">
        <v>0</v>
      </c>
      <c r="AC40" s="49">
        <v>0</v>
      </c>
      <c r="AD40" s="49">
        <v>0</v>
      </c>
      <c r="AE40" s="49">
        <v>0</v>
      </c>
    </row>
    <row r="41" spans="19:31" x14ac:dyDescent="0.25"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B41" s="49">
        <v>0</v>
      </c>
      <c r="AC41" s="49">
        <v>0</v>
      </c>
      <c r="AD41" s="49">
        <v>0</v>
      </c>
      <c r="AE41" s="49">
        <v>0</v>
      </c>
    </row>
    <row r="42" spans="19:31" x14ac:dyDescent="0.25">
      <c r="S42" s="49"/>
      <c r="T42" s="49"/>
      <c r="U42" s="49"/>
      <c r="V42" s="49"/>
      <c r="W42" s="49"/>
      <c r="X42" s="49"/>
      <c r="Y42" s="49"/>
      <c r="Z42" s="49"/>
      <c r="AB42" s="49">
        <v>0</v>
      </c>
      <c r="AC42" s="49">
        <v>0</v>
      </c>
      <c r="AD42" s="49"/>
      <c r="AE42" s="49"/>
    </row>
    <row r="43" spans="19:31" x14ac:dyDescent="0.25">
      <c r="S43" s="13">
        <f t="shared" ref="S43:Z43" si="1">SUM(S17:S42)</f>
        <v>0</v>
      </c>
      <c r="T43" s="13">
        <f t="shared" si="1"/>
        <v>0</v>
      </c>
      <c r="U43" s="13">
        <f t="shared" si="1"/>
        <v>0</v>
      </c>
      <c r="V43" s="13">
        <f t="shared" si="1"/>
        <v>0</v>
      </c>
      <c r="W43" s="13">
        <f t="shared" si="1"/>
        <v>0</v>
      </c>
      <c r="X43" s="13">
        <f t="shared" si="1"/>
        <v>0</v>
      </c>
      <c r="Y43" s="13">
        <f t="shared" si="1"/>
        <v>0</v>
      </c>
      <c r="Z43" s="13">
        <f t="shared" si="1"/>
        <v>0</v>
      </c>
      <c r="AB43" s="13">
        <f>SUM(AB17:AB42)</f>
        <v>0</v>
      </c>
      <c r="AC43" s="13">
        <f>SUM(AC17:AC42)</f>
        <v>0</v>
      </c>
      <c r="AD43" s="13">
        <f>SUM(AD17:AD42)</f>
        <v>0</v>
      </c>
      <c r="AE43" s="13">
        <f>SUM(AE17:AE42)</f>
        <v>0</v>
      </c>
    </row>
    <row r="44" spans="19:31" x14ac:dyDescent="0.25">
      <c r="S44" s="14">
        <f>S43*11</f>
        <v>0</v>
      </c>
      <c r="T44" s="14">
        <f>T43*66</f>
        <v>0</v>
      </c>
      <c r="U44" s="14">
        <f>U43*11</f>
        <v>0</v>
      </c>
      <c r="V44" s="14">
        <f>V43*66</f>
        <v>0</v>
      </c>
      <c r="W44" s="14">
        <f>W43*11</f>
        <v>0</v>
      </c>
      <c r="X44" s="14">
        <f>X43*66</f>
        <v>0</v>
      </c>
      <c r="Y44" s="14">
        <f>Y43*11</f>
        <v>0</v>
      </c>
      <c r="Z44" s="14">
        <f>Z43*66</f>
        <v>0</v>
      </c>
      <c r="AB44" s="14">
        <f>AB43*11</f>
        <v>0</v>
      </c>
      <c r="AC44" s="14">
        <f>AC43*66</f>
        <v>0</v>
      </c>
      <c r="AD44" s="14">
        <f>AD43*11</f>
        <v>0</v>
      </c>
      <c r="AE44" s="14">
        <f>AE43*66</f>
        <v>0</v>
      </c>
    </row>
    <row r="45" spans="19:31" ht="18.75" x14ac:dyDescent="0.3">
      <c r="S45" s="7" t="s">
        <v>25</v>
      </c>
    </row>
    <row r="46" spans="19:31" x14ac:dyDescent="0.25">
      <c r="S46" s="8" t="s">
        <v>12</v>
      </c>
      <c r="U46" s="8" t="s">
        <v>26</v>
      </c>
      <c r="W46" s="8" t="s">
        <v>27</v>
      </c>
      <c r="Y46" s="8" t="s">
        <v>28</v>
      </c>
      <c r="AB46" s="9" t="s">
        <v>16</v>
      </c>
      <c r="AD46" s="10" t="s">
        <v>10</v>
      </c>
    </row>
    <row r="47" spans="19:31" x14ac:dyDescent="0.25">
      <c r="S47" s="11" t="s">
        <v>17</v>
      </c>
      <c r="U47" s="11" t="s">
        <v>18</v>
      </c>
      <c r="W47" s="11" t="s">
        <v>19</v>
      </c>
      <c r="Y47" s="11" t="s">
        <v>20</v>
      </c>
      <c r="AB47" s="11" t="s">
        <v>29</v>
      </c>
      <c r="AD47" s="11" t="s">
        <v>29</v>
      </c>
    </row>
    <row r="48" spans="19:31" x14ac:dyDescent="0.25">
      <c r="S48" s="12" t="s">
        <v>22</v>
      </c>
      <c r="T48" s="12" t="s">
        <v>23</v>
      </c>
      <c r="U48" s="12" t="s">
        <v>22</v>
      </c>
      <c r="V48" s="12" t="s">
        <v>23</v>
      </c>
      <c r="W48" s="12" t="s">
        <v>22</v>
      </c>
      <c r="X48" s="12" t="s">
        <v>23</v>
      </c>
      <c r="Y48" s="12" t="s">
        <v>22</v>
      </c>
      <c r="Z48" s="12" t="s">
        <v>23</v>
      </c>
      <c r="AB48" s="12" t="s">
        <v>22</v>
      </c>
      <c r="AC48" s="12" t="s">
        <v>23</v>
      </c>
      <c r="AD48" s="12" t="s">
        <v>22</v>
      </c>
      <c r="AE48" s="12" t="s">
        <v>23</v>
      </c>
    </row>
    <row r="49" spans="19:31" x14ac:dyDescent="0.25"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0</v>
      </c>
      <c r="AB49" s="49">
        <v>0</v>
      </c>
      <c r="AC49" s="49">
        <v>0</v>
      </c>
      <c r="AD49" s="49">
        <v>0</v>
      </c>
      <c r="AE49" s="49">
        <v>0</v>
      </c>
    </row>
    <row r="50" spans="19:31" x14ac:dyDescent="0.25"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B50" s="49">
        <v>0</v>
      </c>
      <c r="AC50" s="49">
        <v>0</v>
      </c>
      <c r="AD50" s="49">
        <v>0</v>
      </c>
      <c r="AE50" s="49">
        <v>0</v>
      </c>
    </row>
    <row r="51" spans="19:31" x14ac:dyDescent="0.25">
      <c r="S51" s="49">
        <v>0</v>
      </c>
      <c r="T51" s="49">
        <v>0</v>
      </c>
      <c r="U51" s="49">
        <v>0</v>
      </c>
      <c r="V51" s="49">
        <v>0</v>
      </c>
      <c r="W51" s="49">
        <v>0</v>
      </c>
      <c r="X51" s="49">
        <v>0</v>
      </c>
      <c r="Y51" s="49">
        <v>0</v>
      </c>
      <c r="Z51" s="49">
        <v>0</v>
      </c>
      <c r="AB51" s="49">
        <v>0</v>
      </c>
      <c r="AC51" s="49">
        <v>0</v>
      </c>
      <c r="AD51" s="49">
        <v>0</v>
      </c>
      <c r="AE51" s="49">
        <v>0</v>
      </c>
    </row>
    <row r="52" spans="19:31" x14ac:dyDescent="0.25"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B52" s="49">
        <v>0</v>
      </c>
      <c r="AC52" s="49">
        <v>0</v>
      </c>
      <c r="AD52" s="49">
        <v>0</v>
      </c>
      <c r="AE52" s="49">
        <v>0</v>
      </c>
    </row>
    <row r="53" spans="19:31" x14ac:dyDescent="0.25"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0</v>
      </c>
      <c r="AB53" s="49">
        <v>0</v>
      </c>
      <c r="AC53" s="49">
        <v>0</v>
      </c>
      <c r="AD53" s="49">
        <v>0</v>
      </c>
      <c r="AE53" s="49">
        <v>0</v>
      </c>
    </row>
    <row r="54" spans="19:31" x14ac:dyDescent="0.25"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B54" s="49">
        <v>0</v>
      </c>
      <c r="AC54" s="49">
        <v>0</v>
      </c>
      <c r="AD54" s="49">
        <v>0</v>
      </c>
      <c r="AE54" s="49">
        <v>0</v>
      </c>
    </row>
    <row r="55" spans="19:31" x14ac:dyDescent="0.25">
      <c r="S55" s="49">
        <v>0</v>
      </c>
      <c r="T55" s="49">
        <v>0</v>
      </c>
      <c r="U55" s="49">
        <v>0</v>
      </c>
      <c r="V55" s="49">
        <v>0</v>
      </c>
      <c r="W55" s="49">
        <v>0</v>
      </c>
      <c r="X55" s="49">
        <v>0</v>
      </c>
      <c r="Y55" s="49">
        <v>0</v>
      </c>
      <c r="Z55" s="49">
        <v>0</v>
      </c>
      <c r="AB55" s="49">
        <v>0</v>
      </c>
      <c r="AC55" s="49">
        <v>0</v>
      </c>
      <c r="AD55" s="49">
        <v>0</v>
      </c>
      <c r="AE55" s="49">
        <v>0</v>
      </c>
    </row>
    <row r="56" spans="19:31" x14ac:dyDescent="0.25">
      <c r="S56" s="49">
        <v>0</v>
      </c>
      <c r="T56" s="49">
        <v>0</v>
      </c>
      <c r="U56" s="49">
        <v>0</v>
      </c>
      <c r="V56" s="49">
        <v>0</v>
      </c>
      <c r="W56" s="49">
        <v>0</v>
      </c>
      <c r="X56" s="49">
        <v>0</v>
      </c>
      <c r="Y56" s="49">
        <v>0</v>
      </c>
      <c r="Z56" s="49">
        <v>0</v>
      </c>
      <c r="AB56" s="49">
        <v>0</v>
      </c>
      <c r="AC56" s="49">
        <v>0</v>
      </c>
      <c r="AD56" s="49">
        <v>0</v>
      </c>
      <c r="AE56" s="49">
        <v>0</v>
      </c>
    </row>
    <row r="57" spans="19:31" x14ac:dyDescent="0.25">
      <c r="S57" s="49">
        <v>0</v>
      </c>
      <c r="T57" s="49">
        <v>0</v>
      </c>
      <c r="U57" s="49">
        <v>0</v>
      </c>
      <c r="V57" s="49">
        <v>0</v>
      </c>
      <c r="W57" s="49">
        <v>0</v>
      </c>
      <c r="X57" s="49">
        <v>0</v>
      </c>
      <c r="Y57" s="49">
        <v>0</v>
      </c>
      <c r="Z57" s="49">
        <v>0</v>
      </c>
      <c r="AB57" s="49">
        <v>0</v>
      </c>
      <c r="AC57" s="49">
        <v>0</v>
      </c>
      <c r="AD57" s="49">
        <v>0</v>
      </c>
      <c r="AE57" s="49">
        <v>0</v>
      </c>
    </row>
    <row r="58" spans="19:31" x14ac:dyDescent="0.25"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B58" s="49">
        <v>0</v>
      </c>
      <c r="AC58" s="49">
        <v>0</v>
      </c>
      <c r="AD58" s="49">
        <v>0</v>
      </c>
      <c r="AE58" s="49">
        <v>0</v>
      </c>
    </row>
    <row r="59" spans="19:31" x14ac:dyDescent="0.25">
      <c r="S59" s="49">
        <v>0</v>
      </c>
      <c r="T59" s="49">
        <v>0</v>
      </c>
      <c r="U59" s="49">
        <v>0</v>
      </c>
      <c r="V59" s="49">
        <v>0</v>
      </c>
      <c r="W59" s="49">
        <v>0</v>
      </c>
      <c r="X59" s="49">
        <v>0</v>
      </c>
      <c r="Y59" s="49">
        <v>0</v>
      </c>
      <c r="Z59" s="49">
        <v>0</v>
      </c>
      <c r="AB59" s="49">
        <v>0</v>
      </c>
      <c r="AC59" s="49">
        <v>0</v>
      </c>
      <c r="AD59" s="49">
        <v>0</v>
      </c>
      <c r="AE59" s="49">
        <v>0</v>
      </c>
    </row>
    <row r="60" spans="19:31" x14ac:dyDescent="0.25">
      <c r="S60" s="49">
        <v>0</v>
      </c>
      <c r="T60" s="49">
        <v>0</v>
      </c>
      <c r="U60" s="49">
        <v>0</v>
      </c>
      <c r="V60" s="49">
        <v>0</v>
      </c>
      <c r="W60" s="49">
        <v>0</v>
      </c>
      <c r="X60" s="49">
        <v>0</v>
      </c>
      <c r="Y60" s="49">
        <v>0</v>
      </c>
      <c r="Z60" s="49">
        <v>0</v>
      </c>
      <c r="AB60" s="49">
        <v>0</v>
      </c>
      <c r="AC60" s="49">
        <v>0</v>
      </c>
      <c r="AD60" s="49">
        <v>0</v>
      </c>
      <c r="AE60" s="49">
        <v>0</v>
      </c>
    </row>
    <row r="61" spans="19:31" x14ac:dyDescent="0.25">
      <c r="S61" s="49">
        <v>0</v>
      </c>
      <c r="T61" s="49">
        <v>0</v>
      </c>
      <c r="U61" s="49">
        <v>0</v>
      </c>
      <c r="V61" s="49">
        <v>0</v>
      </c>
      <c r="W61" s="49">
        <v>0</v>
      </c>
      <c r="X61" s="49">
        <v>0</v>
      </c>
      <c r="Y61" s="49">
        <v>0</v>
      </c>
      <c r="Z61" s="49">
        <v>0</v>
      </c>
      <c r="AB61" s="49">
        <v>0</v>
      </c>
      <c r="AC61" s="49">
        <v>0</v>
      </c>
      <c r="AD61" s="49">
        <v>0</v>
      </c>
      <c r="AE61" s="49">
        <v>0</v>
      </c>
    </row>
    <row r="62" spans="19:31" x14ac:dyDescent="0.25">
      <c r="S62" s="49">
        <v>0</v>
      </c>
      <c r="T62" s="49">
        <v>0</v>
      </c>
      <c r="U62" s="49">
        <v>0</v>
      </c>
      <c r="V62" s="49">
        <v>0</v>
      </c>
      <c r="W62" s="49">
        <v>0</v>
      </c>
      <c r="X62" s="49">
        <v>0</v>
      </c>
      <c r="Y62" s="49">
        <v>0</v>
      </c>
      <c r="Z62" s="49">
        <v>0</v>
      </c>
      <c r="AB62" s="49">
        <v>0</v>
      </c>
      <c r="AC62" s="49">
        <v>0</v>
      </c>
      <c r="AD62" s="49">
        <v>0</v>
      </c>
      <c r="AE62" s="49">
        <v>0</v>
      </c>
    </row>
    <row r="63" spans="19:31" x14ac:dyDescent="0.25">
      <c r="S63" s="49">
        <v>0</v>
      </c>
      <c r="T63" s="49">
        <v>0</v>
      </c>
      <c r="U63" s="49">
        <v>0</v>
      </c>
      <c r="V63" s="49">
        <v>0</v>
      </c>
      <c r="W63" s="49">
        <v>0</v>
      </c>
      <c r="X63" s="49">
        <v>0</v>
      </c>
      <c r="Y63" s="49">
        <v>0</v>
      </c>
      <c r="Z63" s="49">
        <v>0</v>
      </c>
      <c r="AB63" s="49">
        <v>0</v>
      </c>
      <c r="AC63" s="49">
        <v>0</v>
      </c>
      <c r="AD63" s="49">
        <v>0</v>
      </c>
      <c r="AE63" s="49">
        <v>0</v>
      </c>
    </row>
    <row r="64" spans="19:31" x14ac:dyDescent="0.25">
      <c r="S64" s="49">
        <v>0</v>
      </c>
      <c r="T64" s="49">
        <v>0</v>
      </c>
      <c r="U64" s="49">
        <v>0</v>
      </c>
      <c r="V64" s="49">
        <v>0</v>
      </c>
      <c r="W64" s="49">
        <v>0</v>
      </c>
      <c r="X64" s="49">
        <v>0</v>
      </c>
      <c r="Y64" s="49">
        <v>0</v>
      </c>
      <c r="Z64" s="49">
        <v>0</v>
      </c>
      <c r="AB64" s="49">
        <v>0</v>
      </c>
      <c r="AC64" s="49">
        <v>0</v>
      </c>
      <c r="AD64" s="49">
        <v>0</v>
      </c>
      <c r="AE64" s="49">
        <v>0</v>
      </c>
    </row>
    <row r="65" spans="19:31" x14ac:dyDescent="0.25">
      <c r="S65" s="49">
        <v>0</v>
      </c>
      <c r="T65" s="49">
        <v>0</v>
      </c>
      <c r="U65" s="49">
        <v>0</v>
      </c>
      <c r="V65" s="49">
        <v>0</v>
      </c>
      <c r="W65" s="49">
        <v>0</v>
      </c>
      <c r="X65" s="49">
        <v>0</v>
      </c>
      <c r="Y65" s="49">
        <v>0</v>
      </c>
      <c r="Z65" s="49">
        <v>0</v>
      </c>
      <c r="AB65" s="49">
        <v>0</v>
      </c>
      <c r="AC65" s="49">
        <v>0</v>
      </c>
      <c r="AD65" s="49">
        <v>0</v>
      </c>
      <c r="AE65" s="49">
        <v>0</v>
      </c>
    </row>
    <row r="66" spans="19:31" x14ac:dyDescent="0.25">
      <c r="S66" s="49">
        <v>0</v>
      </c>
      <c r="T66" s="49">
        <v>0</v>
      </c>
      <c r="U66" s="49">
        <v>0</v>
      </c>
      <c r="V66" s="49">
        <v>0</v>
      </c>
      <c r="W66" s="49">
        <v>0</v>
      </c>
      <c r="X66" s="49">
        <v>0</v>
      </c>
      <c r="Y66" s="49">
        <v>0</v>
      </c>
      <c r="Z66" s="49">
        <v>0</v>
      </c>
      <c r="AB66" s="49">
        <v>0</v>
      </c>
      <c r="AC66" s="49">
        <v>0</v>
      </c>
      <c r="AD66" s="49">
        <v>0</v>
      </c>
      <c r="AE66" s="49">
        <v>0</v>
      </c>
    </row>
    <row r="67" spans="19:31" x14ac:dyDescent="0.25">
      <c r="S67" s="49">
        <v>0</v>
      </c>
      <c r="T67" s="49">
        <v>0</v>
      </c>
      <c r="U67" s="49">
        <v>0</v>
      </c>
      <c r="V67" s="49">
        <v>0</v>
      </c>
      <c r="W67" s="49">
        <v>0</v>
      </c>
      <c r="X67" s="49">
        <v>0</v>
      </c>
      <c r="Y67" s="49">
        <v>0</v>
      </c>
      <c r="Z67" s="49">
        <v>0</v>
      </c>
      <c r="AB67" s="49">
        <v>0</v>
      </c>
      <c r="AC67" s="49">
        <v>0</v>
      </c>
      <c r="AD67" s="49">
        <v>0</v>
      </c>
      <c r="AE67" s="49">
        <v>0</v>
      </c>
    </row>
    <row r="68" spans="19:31" x14ac:dyDescent="0.25">
      <c r="S68" s="49">
        <v>0</v>
      </c>
      <c r="T68" s="49">
        <v>0</v>
      </c>
      <c r="U68" s="49">
        <v>0</v>
      </c>
      <c r="V68" s="49">
        <v>0</v>
      </c>
      <c r="W68" s="49">
        <v>0</v>
      </c>
      <c r="X68" s="49">
        <v>0</v>
      </c>
      <c r="Y68" s="49">
        <v>0</v>
      </c>
      <c r="Z68" s="49">
        <v>0</v>
      </c>
      <c r="AB68" s="49">
        <v>0</v>
      </c>
      <c r="AC68" s="49">
        <v>0</v>
      </c>
      <c r="AD68" s="49">
        <v>0</v>
      </c>
      <c r="AE68" s="49">
        <v>0</v>
      </c>
    </row>
    <row r="69" spans="19:31" x14ac:dyDescent="0.25">
      <c r="S69" s="49">
        <v>0</v>
      </c>
      <c r="T69" s="49">
        <v>0</v>
      </c>
      <c r="U69" s="49">
        <v>0</v>
      </c>
      <c r="V69" s="49">
        <v>0</v>
      </c>
      <c r="W69" s="49">
        <v>0</v>
      </c>
      <c r="X69" s="49">
        <v>0</v>
      </c>
      <c r="Y69" s="49">
        <v>0</v>
      </c>
      <c r="Z69" s="49">
        <v>0</v>
      </c>
      <c r="AB69" s="49">
        <v>0</v>
      </c>
      <c r="AC69" s="49">
        <v>0</v>
      </c>
      <c r="AD69" s="49">
        <v>0</v>
      </c>
      <c r="AE69" s="49">
        <v>0</v>
      </c>
    </row>
    <row r="70" spans="19:31" x14ac:dyDescent="0.25">
      <c r="S70" s="49">
        <v>0</v>
      </c>
      <c r="T70" s="49">
        <v>0</v>
      </c>
      <c r="U70" s="49">
        <v>0</v>
      </c>
      <c r="V70" s="49">
        <v>0</v>
      </c>
      <c r="W70" s="49">
        <v>0</v>
      </c>
      <c r="X70" s="49">
        <v>0</v>
      </c>
      <c r="Y70" s="49">
        <v>0</v>
      </c>
      <c r="Z70" s="49">
        <v>0</v>
      </c>
      <c r="AB70" s="49">
        <v>0</v>
      </c>
      <c r="AC70" s="49">
        <v>0</v>
      </c>
      <c r="AD70" s="49">
        <v>0</v>
      </c>
      <c r="AE70" s="49">
        <v>0</v>
      </c>
    </row>
    <row r="71" spans="19:31" x14ac:dyDescent="0.25">
      <c r="S71" s="49">
        <v>0</v>
      </c>
      <c r="T71" s="49">
        <v>0</v>
      </c>
      <c r="U71" s="49">
        <v>0</v>
      </c>
      <c r="V71" s="49">
        <v>0</v>
      </c>
      <c r="W71" s="49">
        <v>0</v>
      </c>
      <c r="X71" s="49">
        <v>0</v>
      </c>
      <c r="Y71" s="49">
        <v>0</v>
      </c>
      <c r="Z71" s="49">
        <v>0</v>
      </c>
      <c r="AB71" s="49">
        <v>0</v>
      </c>
      <c r="AC71" s="49">
        <v>0</v>
      </c>
      <c r="AD71" s="49">
        <v>0</v>
      </c>
      <c r="AE71" s="49">
        <v>0</v>
      </c>
    </row>
    <row r="72" spans="19:31" x14ac:dyDescent="0.25">
      <c r="S72" s="49">
        <v>0</v>
      </c>
      <c r="T72" s="49">
        <v>0</v>
      </c>
      <c r="U72" s="49">
        <v>0</v>
      </c>
      <c r="V72" s="49">
        <v>0</v>
      </c>
      <c r="W72" s="49">
        <v>0</v>
      </c>
      <c r="X72" s="49">
        <v>0</v>
      </c>
      <c r="Y72" s="49">
        <v>0</v>
      </c>
      <c r="Z72" s="49">
        <v>0</v>
      </c>
      <c r="AB72" s="49">
        <v>0</v>
      </c>
      <c r="AC72" s="49">
        <v>0</v>
      </c>
      <c r="AD72" s="49">
        <v>0</v>
      </c>
      <c r="AE72" s="49">
        <v>0</v>
      </c>
    </row>
    <row r="73" spans="19:31" x14ac:dyDescent="0.25">
      <c r="S73" s="49">
        <v>0</v>
      </c>
      <c r="T73" s="49">
        <v>0</v>
      </c>
      <c r="U73" s="49">
        <v>0</v>
      </c>
      <c r="V73" s="49">
        <v>0</v>
      </c>
      <c r="W73" s="49">
        <v>0</v>
      </c>
      <c r="X73" s="49">
        <v>0</v>
      </c>
      <c r="Y73" s="49">
        <v>0</v>
      </c>
      <c r="Z73" s="49">
        <v>0</v>
      </c>
      <c r="AB73" s="49">
        <v>0</v>
      </c>
      <c r="AC73" s="49">
        <v>0</v>
      </c>
      <c r="AD73" s="49">
        <v>0</v>
      </c>
      <c r="AE73" s="49">
        <v>0</v>
      </c>
    </row>
    <row r="74" spans="19:31" x14ac:dyDescent="0.25">
      <c r="S74" s="49">
        <v>0</v>
      </c>
      <c r="T74" s="49">
        <v>0</v>
      </c>
      <c r="U74" s="49">
        <v>0</v>
      </c>
      <c r="V74" s="49">
        <v>0</v>
      </c>
      <c r="W74" s="49">
        <v>0</v>
      </c>
      <c r="X74" s="49">
        <v>0</v>
      </c>
      <c r="Y74" s="49">
        <v>0</v>
      </c>
      <c r="Z74" s="49">
        <v>0</v>
      </c>
      <c r="AB74" s="49">
        <v>0</v>
      </c>
      <c r="AC74" s="49">
        <v>0</v>
      </c>
      <c r="AD74" s="49">
        <v>0</v>
      </c>
      <c r="AE74" s="49">
        <v>0</v>
      </c>
    </row>
    <row r="75" spans="19:31" x14ac:dyDescent="0.25">
      <c r="S75" s="49"/>
      <c r="T75" s="49"/>
      <c r="U75" s="49"/>
      <c r="V75" s="49"/>
      <c r="W75" s="49"/>
      <c r="X75" s="49"/>
      <c r="Y75" s="49"/>
      <c r="Z75" s="49"/>
      <c r="AB75" s="49"/>
      <c r="AC75" s="49"/>
      <c r="AD75" s="49"/>
      <c r="AE75" s="49"/>
    </row>
    <row r="76" spans="19:31" x14ac:dyDescent="0.25">
      <c r="S76" s="13">
        <f t="shared" ref="S76:Z76" si="2">SUM(S49:S75)</f>
        <v>0</v>
      </c>
      <c r="T76" s="13">
        <f t="shared" si="2"/>
        <v>0</v>
      </c>
      <c r="U76" s="13">
        <f t="shared" si="2"/>
        <v>0</v>
      </c>
      <c r="V76" s="13">
        <f t="shared" si="2"/>
        <v>0</v>
      </c>
      <c r="W76" s="13">
        <f t="shared" si="2"/>
        <v>0</v>
      </c>
      <c r="X76" s="13">
        <f t="shared" si="2"/>
        <v>0</v>
      </c>
      <c r="Y76" s="13">
        <f t="shared" si="2"/>
        <v>0</v>
      </c>
      <c r="Z76" s="13">
        <f t="shared" si="2"/>
        <v>0</v>
      </c>
      <c r="AB76" s="13">
        <f>SUM(AB49:AB75)</f>
        <v>0</v>
      </c>
      <c r="AC76" s="13">
        <f>SUM(AC49:AC75)</f>
        <v>0</v>
      </c>
      <c r="AD76" s="13">
        <f>SUM(AD49:AD75)</f>
        <v>0</v>
      </c>
      <c r="AE76" s="13">
        <f>SUM(AE49:AE75)</f>
        <v>0</v>
      </c>
    </row>
    <row r="77" spans="19:31" x14ac:dyDescent="0.25">
      <c r="S77" s="14">
        <f>S76*11</f>
        <v>0</v>
      </c>
      <c r="T77" s="14">
        <f>T76*66</f>
        <v>0</v>
      </c>
      <c r="U77" s="14">
        <f>U76*11</f>
        <v>0</v>
      </c>
      <c r="V77" s="14">
        <f>V76*66</f>
        <v>0</v>
      </c>
      <c r="W77" s="14">
        <f>W76*11</f>
        <v>0</v>
      </c>
      <c r="X77" s="14">
        <f>X76*66</f>
        <v>0</v>
      </c>
      <c r="Y77" s="14">
        <f>Y76*11</f>
        <v>0</v>
      </c>
      <c r="Z77" s="14">
        <f>Z76*66</f>
        <v>0</v>
      </c>
      <c r="AB77" s="14">
        <f>AB76*11</f>
        <v>0</v>
      </c>
      <c r="AC77" s="14">
        <f>AC76*66</f>
        <v>0</v>
      </c>
      <c r="AD77" s="14">
        <f>AD76*11</f>
        <v>0</v>
      </c>
      <c r="AE77" s="14">
        <f>AE76*66</f>
        <v>0</v>
      </c>
    </row>
    <row r="78" spans="19:31" ht="18.75" x14ac:dyDescent="0.3">
      <c r="S78" s="7" t="s">
        <v>31</v>
      </c>
    </row>
    <row r="79" spans="19:31" x14ac:dyDescent="0.25">
      <c r="S79" s="8" t="s">
        <v>12</v>
      </c>
      <c r="U79" s="8" t="s">
        <v>26</v>
      </c>
      <c r="W79" s="8" t="s">
        <v>27</v>
      </c>
      <c r="Y79" s="8" t="s">
        <v>28</v>
      </c>
      <c r="AB79" s="9" t="s">
        <v>16</v>
      </c>
      <c r="AD79" s="10" t="s">
        <v>10</v>
      </c>
    </row>
    <row r="80" spans="19:31" x14ac:dyDescent="0.25">
      <c r="S80" s="11" t="s">
        <v>17</v>
      </c>
      <c r="U80" s="11" t="s">
        <v>18</v>
      </c>
      <c r="W80" s="11" t="s">
        <v>19</v>
      </c>
      <c r="Y80" s="11" t="s">
        <v>20</v>
      </c>
      <c r="AB80" s="11" t="s">
        <v>32</v>
      </c>
      <c r="AD80" s="11" t="s">
        <v>32</v>
      </c>
    </row>
    <row r="81" spans="19:31" x14ac:dyDescent="0.25">
      <c r="S81" s="12" t="s">
        <v>22</v>
      </c>
      <c r="T81" s="12" t="s">
        <v>23</v>
      </c>
      <c r="U81" s="12" t="s">
        <v>22</v>
      </c>
      <c r="V81" s="12" t="s">
        <v>23</v>
      </c>
      <c r="W81" s="12" t="s">
        <v>22</v>
      </c>
      <c r="X81" s="12" t="s">
        <v>23</v>
      </c>
      <c r="Y81" s="12" t="s">
        <v>22</v>
      </c>
      <c r="Z81" s="12" t="s">
        <v>23</v>
      </c>
      <c r="AB81" s="12" t="s">
        <v>22</v>
      </c>
      <c r="AC81" s="12" t="s">
        <v>23</v>
      </c>
      <c r="AD81" s="12" t="s">
        <v>22</v>
      </c>
      <c r="AE81" s="12" t="s">
        <v>23</v>
      </c>
    </row>
    <row r="82" spans="19:31" x14ac:dyDescent="0.25">
      <c r="S82" s="49">
        <v>0</v>
      </c>
      <c r="T82" s="49">
        <v>0</v>
      </c>
      <c r="U82" s="49">
        <v>0</v>
      </c>
      <c r="V82" s="49">
        <v>0</v>
      </c>
      <c r="W82" s="49">
        <v>0</v>
      </c>
      <c r="X82" s="49">
        <v>0</v>
      </c>
      <c r="Y82" s="49">
        <v>0</v>
      </c>
      <c r="Z82" s="49">
        <v>0</v>
      </c>
      <c r="AB82" s="49">
        <v>0</v>
      </c>
      <c r="AC82" s="49">
        <v>0</v>
      </c>
      <c r="AD82" s="49">
        <v>0</v>
      </c>
      <c r="AE82" s="49">
        <v>0</v>
      </c>
    </row>
    <row r="83" spans="19:31" x14ac:dyDescent="0.25">
      <c r="S83" s="49">
        <v>0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49">
        <v>0</v>
      </c>
      <c r="AB83" s="49">
        <v>0</v>
      </c>
      <c r="AC83" s="49">
        <v>0</v>
      </c>
      <c r="AD83" s="49">
        <v>0</v>
      </c>
      <c r="AE83" s="49">
        <v>0</v>
      </c>
    </row>
    <row r="84" spans="19:31" x14ac:dyDescent="0.25">
      <c r="S84" s="49">
        <v>0</v>
      </c>
      <c r="T84" s="49">
        <v>0</v>
      </c>
      <c r="U84" s="49">
        <v>0</v>
      </c>
      <c r="V84" s="49">
        <v>0</v>
      </c>
      <c r="W84" s="49">
        <v>0</v>
      </c>
      <c r="X84" s="49">
        <v>0</v>
      </c>
      <c r="Y84" s="49">
        <v>0</v>
      </c>
      <c r="Z84" s="49">
        <v>0</v>
      </c>
      <c r="AB84" s="49">
        <v>0</v>
      </c>
      <c r="AC84" s="49">
        <v>0</v>
      </c>
      <c r="AD84" s="49">
        <v>0</v>
      </c>
      <c r="AE84" s="49">
        <v>0</v>
      </c>
    </row>
    <row r="85" spans="19:31" x14ac:dyDescent="0.25">
      <c r="S85" s="49">
        <v>0</v>
      </c>
      <c r="T85" s="49">
        <v>0</v>
      </c>
      <c r="U85" s="49">
        <v>0</v>
      </c>
      <c r="V85" s="49">
        <v>0</v>
      </c>
      <c r="W85" s="49">
        <v>0</v>
      </c>
      <c r="X85" s="49">
        <v>0</v>
      </c>
      <c r="Y85" s="49">
        <v>0</v>
      </c>
      <c r="Z85" s="49">
        <v>0</v>
      </c>
      <c r="AB85" s="49">
        <v>0</v>
      </c>
      <c r="AC85" s="49">
        <v>0</v>
      </c>
      <c r="AD85" s="49">
        <v>0</v>
      </c>
      <c r="AE85" s="49">
        <v>0</v>
      </c>
    </row>
    <row r="86" spans="19:31" x14ac:dyDescent="0.25">
      <c r="S86" s="49">
        <v>0</v>
      </c>
      <c r="T86" s="49">
        <v>0</v>
      </c>
      <c r="U86" s="49">
        <v>0</v>
      </c>
      <c r="V86" s="49">
        <v>0</v>
      </c>
      <c r="W86" s="49">
        <v>0</v>
      </c>
      <c r="X86" s="49">
        <v>0</v>
      </c>
      <c r="Y86" s="49">
        <v>0</v>
      </c>
      <c r="Z86" s="49">
        <v>0</v>
      </c>
      <c r="AB86" s="49">
        <v>0</v>
      </c>
      <c r="AC86" s="49">
        <v>0</v>
      </c>
      <c r="AD86" s="49">
        <v>0</v>
      </c>
      <c r="AE86" s="49">
        <v>0</v>
      </c>
    </row>
    <row r="87" spans="19:31" x14ac:dyDescent="0.25">
      <c r="S87" s="49">
        <v>0</v>
      </c>
      <c r="T87" s="49">
        <v>0</v>
      </c>
      <c r="U87" s="49">
        <v>0</v>
      </c>
      <c r="V87" s="49">
        <v>0</v>
      </c>
      <c r="W87" s="49">
        <v>0</v>
      </c>
      <c r="X87" s="49">
        <v>0</v>
      </c>
      <c r="Y87" s="49">
        <v>0</v>
      </c>
      <c r="Z87" s="49">
        <v>0</v>
      </c>
      <c r="AB87" s="49">
        <v>0</v>
      </c>
      <c r="AC87" s="49">
        <v>0</v>
      </c>
      <c r="AD87" s="49">
        <v>0</v>
      </c>
      <c r="AE87" s="49">
        <v>0</v>
      </c>
    </row>
    <row r="88" spans="19:31" x14ac:dyDescent="0.25">
      <c r="S88" s="49">
        <v>0</v>
      </c>
      <c r="T88" s="49">
        <v>0</v>
      </c>
      <c r="U88" s="49">
        <v>0</v>
      </c>
      <c r="V88" s="49">
        <v>0</v>
      </c>
      <c r="W88" s="49">
        <v>0</v>
      </c>
      <c r="X88" s="49">
        <v>0</v>
      </c>
      <c r="Y88" s="49">
        <v>0</v>
      </c>
      <c r="Z88" s="49">
        <v>0</v>
      </c>
      <c r="AB88" s="49">
        <v>0</v>
      </c>
      <c r="AC88" s="49">
        <v>0</v>
      </c>
      <c r="AD88" s="49">
        <v>0</v>
      </c>
      <c r="AE88" s="49">
        <v>0</v>
      </c>
    </row>
    <row r="89" spans="19:31" x14ac:dyDescent="0.25">
      <c r="S89" s="49">
        <v>0</v>
      </c>
      <c r="T89" s="49">
        <v>0</v>
      </c>
      <c r="U89" s="49">
        <v>0</v>
      </c>
      <c r="V89" s="49">
        <v>0</v>
      </c>
      <c r="W89" s="49">
        <v>0</v>
      </c>
      <c r="X89" s="49">
        <v>0</v>
      </c>
      <c r="Y89" s="49">
        <v>0</v>
      </c>
      <c r="Z89" s="49">
        <v>0</v>
      </c>
      <c r="AB89" s="49">
        <v>0</v>
      </c>
      <c r="AC89" s="49">
        <v>0</v>
      </c>
      <c r="AD89" s="49">
        <v>0</v>
      </c>
      <c r="AE89" s="49">
        <v>0</v>
      </c>
    </row>
    <row r="90" spans="19:31" x14ac:dyDescent="0.25">
      <c r="S90" s="49">
        <v>0</v>
      </c>
      <c r="T90" s="49">
        <v>0</v>
      </c>
      <c r="U90" s="49">
        <v>0</v>
      </c>
      <c r="V90" s="49">
        <v>0</v>
      </c>
      <c r="W90" s="49">
        <v>0</v>
      </c>
      <c r="X90" s="49">
        <v>0</v>
      </c>
      <c r="Y90" s="49">
        <v>0</v>
      </c>
      <c r="Z90" s="49">
        <v>0</v>
      </c>
      <c r="AB90" s="49">
        <v>0</v>
      </c>
      <c r="AC90" s="49">
        <v>0</v>
      </c>
      <c r="AD90" s="49">
        <v>0</v>
      </c>
      <c r="AE90" s="49">
        <v>0</v>
      </c>
    </row>
    <row r="91" spans="19:31" x14ac:dyDescent="0.25">
      <c r="S91" s="49">
        <v>0</v>
      </c>
      <c r="T91" s="49">
        <v>0</v>
      </c>
      <c r="U91" s="49">
        <v>0</v>
      </c>
      <c r="V91" s="49">
        <v>0</v>
      </c>
      <c r="W91" s="49">
        <v>0</v>
      </c>
      <c r="X91" s="49">
        <v>0</v>
      </c>
      <c r="Y91" s="49">
        <v>0</v>
      </c>
      <c r="Z91" s="49">
        <v>0</v>
      </c>
      <c r="AB91" s="49">
        <v>0</v>
      </c>
      <c r="AC91" s="49">
        <v>0</v>
      </c>
      <c r="AD91" s="49">
        <v>0</v>
      </c>
      <c r="AE91" s="49">
        <v>0</v>
      </c>
    </row>
    <row r="92" spans="19:31" x14ac:dyDescent="0.25">
      <c r="S92" s="49">
        <v>0</v>
      </c>
      <c r="T92" s="49">
        <v>0</v>
      </c>
      <c r="U92" s="49">
        <v>0</v>
      </c>
      <c r="V92" s="49">
        <v>0</v>
      </c>
      <c r="W92" s="49">
        <v>0</v>
      </c>
      <c r="X92" s="49">
        <v>0</v>
      </c>
      <c r="Y92" s="49">
        <v>0</v>
      </c>
      <c r="Z92" s="49">
        <v>0</v>
      </c>
      <c r="AB92" s="49">
        <v>0</v>
      </c>
      <c r="AC92" s="49">
        <v>0</v>
      </c>
      <c r="AD92" s="49">
        <v>0</v>
      </c>
      <c r="AE92" s="49">
        <v>0</v>
      </c>
    </row>
    <row r="93" spans="19:31" x14ac:dyDescent="0.25">
      <c r="S93" s="49">
        <v>0</v>
      </c>
      <c r="T93" s="49">
        <v>0</v>
      </c>
      <c r="U93" s="49">
        <v>0</v>
      </c>
      <c r="V93" s="49">
        <v>0</v>
      </c>
      <c r="W93" s="49">
        <v>0</v>
      </c>
      <c r="X93" s="49">
        <v>0</v>
      </c>
      <c r="Y93" s="49">
        <v>0</v>
      </c>
      <c r="Z93" s="49">
        <v>0</v>
      </c>
      <c r="AB93" s="49">
        <v>0</v>
      </c>
      <c r="AC93" s="49">
        <v>0</v>
      </c>
      <c r="AD93" s="49">
        <v>0</v>
      </c>
      <c r="AE93" s="49">
        <v>0</v>
      </c>
    </row>
    <row r="94" spans="19:31" x14ac:dyDescent="0.25">
      <c r="S94" s="49">
        <v>0</v>
      </c>
      <c r="T94" s="49">
        <v>0</v>
      </c>
      <c r="U94" s="49">
        <v>0</v>
      </c>
      <c r="V94" s="49">
        <v>0</v>
      </c>
      <c r="W94" s="49">
        <v>0</v>
      </c>
      <c r="X94" s="49">
        <v>0</v>
      </c>
      <c r="Y94" s="49">
        <v>0</v>
      </c>
      <c r="Z94" s="49">
        <v>0</v>
      </c>
      <c r="AB94" s="49">
        <v>0</v>
      </c>
      <c r="AC94" s="49">
        <v>0</v>
      </c>
      <c r="AD94" s="49">
        <v>0</v>
      </c>
      <c r="AE94" s="49">
        <v>0</v>
      </c>
    </row>
    <row r="95" spans="19:31" x14ac:dyDescent="0.25"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0</v>
      </c>
      <c r="AB95" s="49">
        <v>0</v>
      </c>
      <c r="AC95" s="49">
        <v>0</v>
      </c>
      <c r="AD95" s="49">
        <v>0</v>
      </c>
      <c r="AE95" s="49">
        <v>0</v>
      </c>
    </row>
    <row r="96" spans="19:31" x14ac:dyDescent="0.25">
      <c r="S96" s="49">
        <v>0</v>
      </c>
      <c r="T96" s="49">
        <v>0</v>
      </c>
      <c r="U96" s="49">
        <v>0</v>
      </c>
      <c r="V96" s="49">
        <v>0</v>
      </c>
      <c r="W96" s="49">
        <v>0</v>
      </c>
      <c r="X96" s="49">
        <v>0</v>
      </c>
      <c r="Y96" s="49">
        <v>0</v>
      </c>
      <c r="Z96" s="49">
        <v>0</v>
      </c>
      <c r="AB96" s="49">
        <v>0</v>
      </c>
      <c r="AC96" s="49">
        <v>0</v>
      </c>
      <c r="AD96" s="49">
        <v>0</v>
      </c>
      <c r="AE96" s="49">
        <v>0</v>
      </c>
    </row>
    <row r="97" spans="19:31" x14ac:dyDescent="0.25">
      <c r="S97" s="49">
        <v>0</v>
      </c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B97" s="49">
        <v>0</v>
      </c>
      <c r="AC97" s="49">
        <v>0</v>
      </c>
      <c r="AD97" s="49">
        <v>0</v>
      </c>
      <c r="AE97" s="49">
        <v>0</v>
      </c>
    </row>
    <row r="98" spans="19:31" x14ac:dyDescent="0.25">
      <c r="S98" s="49">
        <v>0</v>
      </c>
      <c r="T98" s="49">
        <v>0</v>
      </c>
      <c r="U98" s="49">
        <v>0</v>
      </c>
      <c r="V98" s="49">
        <v>0</v>
      </c>
      <c r="W98" s="49">
        <v>0</v>
      </c>
      <c r="X98" s="49">
        <v>0</v>
      </c>
      <c r="Y98" s="49">
        <v>0</v>
      </c>
      <c r="Z98" s="49">
        <v>0</v>
      </c>
      <c r="AB98" s="49">
        <v>0</v>
      </c>
      <c r="AC98" s="49">
        <v>0</v>
      </c>
      <c r="AD98" s="49">
        <v>0</v>
      </c>
      <c r="AE98" s="49">
        <v>0</v>
      </c>
    </row>
    <row r="99" spans="19:31" x14ac:dyDescent="0.25">
      <c r="S99" s="49">
        <v>0</v>
      </c>
      <c r="T99" s="49">
        <v>0</v>
      </c>
      <c r="U99" s="49">
        <v>0</v>
      </c>
      <c r="V99" s="49">
        <v>0</v>
      </c>
      <c r="W99" s="49">
        <v>0</v>
      </c>
      <c r="X99" s="49">
        <v>0</v>
      </c>
      <c r="Y99" s="49">
        <v>0</v>
      </c>
      <c r="Z99" s="49">
        <v>0</v>
      </c>
      <c r="AB99" s="49">
        <v>0</v>
      </c>
      <c r="AC99" s="49">
        <v>0</v>
      </c>
      <c r="AD99" s="49">
        <v>0</v>
      </c>
      <c r="AE99" s="49">
        <v>0</v>
      </c>
    </row>
    <row r="100" spans="19:31" x14ac:dyDescent="0.25">
      <c r="S100" s="49">
        <v>0</v>
      </c>
      <c r="T100" s="49">
        <v>0</v>
      </c>
      <c r="U100" s="49">
        <v>0</v>
      </c>
      <c r="V100" s="49">
        <v>0</v>
      </c>
      <c r="W100" s="49">
        <v>0</v>
      </c>
      <c r="X100" s="49">
        <v>0</v>
      </c>
      <c r="Y100" s="49">
        <v>0</v>
      </c>
      <c r="Z100" s="49">
        <v>0</v>
      </c>
      <c r="AB100" s="49">
        <v>0</v>
      </c>
      <c r="AC100" s="49">
        <v>0</v>
      </c>
      <c r="AD100" s="49">
        <v>0</v>
      </c>
      <c r="AE100" s="49">
        <v>0</v>
      </c>
    </row>
    <row r="101" spans="19:31" x14ac:dyDescent="0.25">
      <c r="S101" s="49">
        <v>0</v>
      </c>
      <c r="T101" s="49">
        <v>0</v>
      </c>
      <c r="U101" s="49">
        <v>0</v>
      </c>
      <c r="V101" s="49">
        <v>0</v>
      </c>
      <c r="W101" s="49">
        <v>0</v>
      </c>
      <c r="X101" s="49">
        <v>0</v>
      </c>
      <c r="Y101" s="49">
        <v>0</v>
      </c>
      <c r="Z101" s="49">
        <v>0</v>
      </c>
      <c r="AB101" s="49">
        <v>0</v>
      </c>
      <c r="AC101" s="49">
        <v>0</v>
      </c>
      <c r="AD101" s="49">
        <v>0</v>
      </c>
      <c r="AE101" s="49">
        <v>0</v>
      </c>
    </row>
    <row r="102" spans="19:31" x14ac:dyDescent="0.25">
      <c r="S102" s="49">
        <v>0</v>
      </c>
      <c r="T102" s="49">
        <v>0</v>
      </c>
      <c r="U102" s="49">
        <v>0</v>
      </c>
      <c r="V102" s="49">
        <v>0</v>
      </c>
      <c r="W102" s="49">
        <v>0</v>
      </c>
      <c r="X102" s="49">
        <v>0</v>
      </c>
      <c r="Y102" s="49">
        <v>0</v>
      </c>
      <c r="Z102" s="49">
        <v>0</v>
      </c>
      <c r="AB102" s="49">
        <v>0</v>
      </c>
      <c r="AC102" s="49">
        <v>0</v>
      </c>
      <c r="AD102" s="49">
        <v>0</v>
      </c>
      <c r="AE102" s="49">
        <v>0</v>
      </c>
    </row>
    <row r="103" spans="19:31" x14ac:dyDescent="0.25">
      <c r="S103" s="49">
        <v>0</v>
      </c>
      <c r="T103" s="49">
        <v>0</v>
      </c>
      <c r="U103" s="49">
        <v>0</v>
      </c>
      <c r="V103" s="49">
        <v>0</v>
      </c>
      <c r="W103" s="49">
        <v>0</v>
      </c>
      <c r="X103" s="49">
        <v>0</v>
      </c>
      <c r="Y103" s="49">
        <v>0</v>
      </c>
      <c r="Z103" s="49">
        <v>0</v>
      </c>
      <c r="AB103" s="49">
        <v>0</v>
      </c>
      <c r="AC103" s="49">
        <v>0</v>
      </c>
      <c r="AD103" s="49">
        <v>0</v>
      </c>
      <c r="AE103" s="49">
        <v>0</v>
      </c>
    </row>
    <row r="104" spans="19:31" x14ac:dyDescent="0.25">
      <c r="S104" s="49">
        <v>0</v>
      </c>
      <c r="T104" s="49">
        <v>0</v>
      </c>
      <c r="U104" s="49">
        <v>0</v>
      </c>
      <c r="V104" s="49">
        <v>0</v>
      </c>
      <c r="W104" s="49">
        <v>0</v>
      </c>
      <c r="X104" s="49">
        <v>0</v>
      </c>
      <c r="Y104" s="49">
        <v>0</v>
      </c>
      <c r="Z104" s="49">
        <v>0</v>
      </c>
      <c r="AB104" s="49">
        <v>0</v>
      </c>
      <c r="AC104" s="49">
        <v>0</v>
      </c>
      <c r="AD104" s="49">
        <v>0</v>
      </c>
      <c r="AE104" s="49">
        <v>0</v>
      </c>
    </row>
    <row r="105" spans="19:31" x14ac:dyDescent="0.25">
      <c r="S105" s="49">
        <v>0</v>
      </c>
      <c r="T105" s="49">
        <v>0</v>
      </c>
      <c r="U105" s="49">
        <v>0</v>
      </c>
      <c r="V105" s="49">
        <v>0</v>
      </c>
      <c r="W105" s="49">
        <v>0</v>
      </c>
      <c r="X105" s="49">
        <v>0</v>
      </c>
      <c r="Y105" s="49">
        <v>0</v>
      </c>
      <c r="Z105" s="49">
        <v>0</v>
      </c>
      <c r="AB105" s="49">
        <v>0</v>
      </c>
      <c r="AC105" s="49">
        <v>0</v>
      </c>
      <c r="AD105" s="49">
        <v>0</v>
      </c>
      <c r="AE105" s="49">
        <v>0</v>
      </c>
    </row>
    <row r="106" spans="19:31" x14ac:dyDescent="0.25">
      <c r="S106" s="49">
        <v>0</v>
      </c>
      <c r="T106" s="49">
        <v>0</v>
      </c>
      <c r="U106" s="49">
        <v>0</v>
      </c>
      <c r="V106" s="49">
        <v>0</v>
      </c>
      <c r="W106" s="49">
        <v>0</v>
      </c>
      <c r="X106" s="49">
        <v>0</v>
      </c>
      <c r="Y106" s="49">
        <v>0</v>
      </c>
      <c r="Z106" s="49">
        <v>0</v>
      </c>
      <c r="AB106" s="49">
        <v>0</v>
      </c>
      <c r="AC106" s="49">
        <v>0</v>
      </c>
      <c r="AD106" s="49">
        <v>0</v>
      </c>
      <c r="AE106" s="49">
        <v>0</v>
      </c>
    </row>
    <row r="107" spans="19:31" x14ac:dyDescent="0.25">
      <c r="S107" s="49"/>
      <c r="T107" s="49"/>
      <c r="U107" s="49"/>
      <c r="V107" s="49"/>
      <c r="W107" s="49"/>
      <c r="X107" s="49"/>
      <c r="Y107" s="49"/>
      <c r="Z107" s="49"/>
      <c r="AB107" s="49"/>
      <c r="AC107" s="49"/>
      <c r="AD107" s="49"/>
      <c r="AE107" s="49"/>
    </row>
    <row r="108" spans="19:31" x14ac:dyDescent="0.25">
      <c r="S108" s="13">
        <f t="shared" ref="S108:Z108" si="3">SUM(S82:S107)</f>
        <v>0</v>
      </c>
      <c r="T108" s="13">
        <f t="shared" si="3"/>
        <v>0</v>
      </c>
      <c r="U108" s="13">
        <f t="shared" si="3"/>
        <v>0</v>
      </c>
      <c r="V108" s="13">
        <f t="shared" si="3"/>
        <v>0</v>
      </c>
      <c r="W108" s="13">
        <f t="shared" si="3"/>
        <v>0</v>
      </c>
      <c r="X108" s="13">
        <f t="shared" si="3"/>
        <v>0</v>
      </c>
      <c r="Y108" s="13">
        <f t="shared" si="3"/>
        <v>0</v>
      </c>
      <c r="Z108" s="13">
        <f t="shared" si="3"/>
        <v>0</v>
      </c>
      <c r="AB108" s="13">
        <f>SUM(AB82:AB107)</f>
        <v>0</v>
      </c>
      <c r="AC108" s="13">
        <f>SUM(AC82:AC107)</f>
        <v>0</v>
      </c>
      <c r="AD108" s="13">
        <f>SUM(AD82:AD107)</f>
        <v>0</v>
      </c>
      <c r="AE108" s="13">
        <f>SUM(AE82:AE107)</f>
        <v>0</v>
      </c>
    </row>
    <row r="109" spans="19:31" x14ac:dyDescent="0.25">
      <c r="S109" s="14">
        <f>S108*11</f>
        <v>0</v>
      </c>
      <c r="T109" s="14">
        <f>T108*66</f>
        <v>0</v>
      </c>
      <c r="U109" s="14">
        <f>U108*11</f>
        <v>0</v>
      </c>
      <c r="V109" s="14">
        <f>V108*66</f>
        <v>0</v>
      </c>
      <c r="W109" s="14">
        <f>W108*11</f>
        <v>0</v>
      </c>
      <c r="X109" s="14">
        <f>X108*66</f>
        <v>0</v>
      </c>
      <c r="Y109" s="14">
        <f>Y108*11</f>
        <v>0</v>
      </c>
      <c r="Z109" s="14">
        <f>Z108*66</f>
        <v>0</v>
      </c>
      <c r="AB109" s="14">
        <f>AB108*11</f>
        <v>0</v>
      </c>
      <c r="AC109" s="14">
        <f>AC108*66</f>
        <v>0</v>
      </c>
      <c r="AD109" s="14">
        <f>AD108*11</f>
        <v>0</v>
      </c>
      <c r="AE109" s="14">
        <f>AE108*66</f>
        <v>0</v>
      </c>
    </row>
    <row r="110" spans="19:31" ht="18.75" x14ac:dyDescent="0.3">
      <c r="S110" s="7" t="s">
        <v>34</v>
      </c>
    </row>
    <row r="111" spans="19:31" x14ac:dyDescent="0.25">
      <c r="S111" s="8" t="s">
        <v>12</v>
      </c>
      <c r="U111" s="8" t="s">
        <v>26</v>
      </c>
      <c r="W111" s="8" t="s">
        <v>27</v>
      </c>
      <c r="Y111" s="8" t="s">
        <v>28</v>
      </c>
      <c r="AB111" s="9" t="s">
        <v>16</v>
      </c>
      <c r="AD111" s="10" t="s">
        <v>10</v>
      </c>
    </row>
    <row r="112" spans="19:31" x14ac:dyDescent="0.25">
      <c r="S112" s="11" t="s">
        <v>17</v>
      </c>
      <c r="U112" s="11" t="s">
        <v>18</v>
      </c>
      <c r="W112" s="11" t="s">
        <v>19</v>
      </c>
      <c r="Y112" s="11" t="s">
        <v>20</v>
      </c>
      <c r="AB112" s="11" t="s">
        <v>35</v>
      </c>
      <c r="AD112" s="11" t="s">
        <v>35</v>
      </c>
    </row>
    <row r="113" spans="19:31" x14ac:dyDescent="0.25">
      <c r="S113" s="12" t="s">
        <v>22</v>
      </c>
      <c r="T113" s="12" t="s">
        <v>23</v>
      </c>
      <c r="U113" s="12" t="s">
        <v>22</v>
      </c>
      <c r="V113" s="12" t="s">
        <v>23</v>
      </c>
      <c r="W113" s="12" t="s">
        <v>22</v>
      </c>
      <c r="X113" s="12" t="s">
        <v>23</v>
      </c>
      <c r="Y113" s="12" t="s">
        <v>22</v>
      </c>
      <c r="Z113" s="12" t="s">
        <v>23</v>
      </c>
      <c r="AB113" s="12" t="s">
        <v>22</v>
      </c>
      <c r="AC113" s="12" t="s">
        <v>23</v>
      </c>
      <c r="AD113" s="12" t="s">
        <v>22</v>
      </c>
      <c r="AE113" s="12" t="s">
        <v>23</v>
      </c>
    </row>
    <row r="114" spans="19:31" x14ac:dyDescent="0.25">
      <c r="S114" s="49">
        <v>0</v>
      </c>
      <c r="T114" s="49">
        <v>0</v>
      </c>
      <c r="U114" s="49">
        <v>0</v>
      </c>
      <c r="V114" s="49">
        <v>0</v>
      </c>
      <c r="W114" s="49">
        <v>0</v>
      </c>
      <c r="X114" s="49">
        <v>0</v>
      </c>
      <c r="Y114" s="49">
        <v>0</v>
      </c>
      <c r="Z114" s="49">
        <v>0</v>
      </c>
      <c r="AB114" s="49">
        <v>0</v>
      </c>
      <c r="AC114" s="49">
        <v>0</v>
      </c>
      <c r="AD114" s="49">
        <v>0</v>
      </c>
      <c r="AE114" s="49">
        <v>0</v>
      </c>
    </row>
    <row r="115" spans="19:31" x14ac:dyDescent="0.25">
      <c r="S115" s="49">
        <v>0</v>
      </c>
      <c r="T115" s="49">
        <v>0</v>
      </c>
      <c r="U115" s="49">
        <v>0</v>
      </c>
      <c r="V115" s="49">
        <v>0</v>
      </c>
      <c r="W115" s="49">
        <v>0</v>
      </c>
      <c r="X115" s="49">
        <v>0</v>
      </c>
      <c r="Y115" s="49">
        <v>0</v>
      </c>
      <c r="Z115" s="49">
        <v>0</v>
      </c>
      <c r="AB115" s="49">
        <v>0</v>
      </c>
      <c r="AC115" s="49">
        <v>0</v>
      </c>
      <c r="AD115" s="49">
        <v>0</v>
      </c>
      <c r="AE115" s="49">
        <v>0</v>
      </c>
    </row>
    <row r="116" spans="19:31" x14ac:dyDescent="0.25">
      <c r="S116" s="49">
        <v>0</v>
      </c>
      <c r="T116" s="49">
        <v>0</v>
      </c>
      <c r="U116" s="49">
        <v>0</v>
      </c>
      <c r="V116" s="49">
        <v>0</v>
      </c>
      <c r="W116" s="49">
        <v>0</v>
      </c>
      <c r="X116" s="49">
        <v>0</v>
      </c>
      <c r="Y116" s="49">
        <v>0</v>
      </c>
      <c r="Z116" s="49">
        <v>0</v>
      </c>
      <c r="AB116" s="49">
        <v>0</v>
      </c>
      <c r="AC116" s="49">
        <v>0</v>
      </c>
      <c r="AD116" s="49">
        <v>0</v>
      </c>
      <c r="AE116" s="49">
        <v>0</v>
      </c>
    </row>
    <row r="117" spans="19:31" x14ac:dyDescent="0.25">
      <c r="S117" s="49">
        <v>0</v>
      </c>
      <c r="T117" s="49">
        <v>0</v>
      </c>
      <c r="U117" s="49">
        <v>0</v>
      </c>
      <c r="V117" s="49">
        <v>0</v>
      </c>
      <c r="W117" s="49">
        <v>0</v>
      </c>
      <c r="X117" s="49">
        <v>0</v>
      </c>
      <c r="Y117" s="49">
        <v>0</v>
      </c>
      <c r="Z117" s="49">
        <v>0</v>
      </c>
      <c r="AB117" s="49">
        <v>0</v>
      </c>
      <c r="AC117" s="49">
        <v>0</v>
      </c>
      <c r="AD117" s="49">
        <v>0</v>
      </c>
      <c r="AE117" s="49">
        <v>0</v>
      </c>
    </row>
    <row r="118" spans="19:31" x14ac:dyDescent="0.25">
      <c r="S118" s="49">
        <v>0</v>
      </c>
      <c r="T118" s="49">
        <v>0</v>
      </c>
      <c r="U118" s="49">
        <v>0</v>
      </c>
      <c r="V118" s="49">
        <v>0</v>
      </c>
      <c r="W118" s="49">
        <v>0</v>
      </c>
      <c r="X118" s="49">
        <v>0</v>
      </c>
      <c r="Y118" s="49">
        <v>0</v>
      </c>
      <c r="Z118" s="49">
        <v>0</v>
      </c>
      <c r="AB118" s="49">
        <v>0</v>
      </c>
      <c r="AC118" s="49">
        <v>0</v>
      </c>
      <c r="AD118" s="49">
        <v>0</v>
      </c>
      <c r="AE118" s="49">
        <v>0</v>
      </c>
    </row>
    <row r="119" spans="19:31" x14ac:dyDescent="0.25">
      <c r="S119" s="49">
        <v>0</v>
      </c>
      <c r="T119" s="49">
        <v>0</v>
      </c>
      <c r="U119" s="49">
        <v>0</v>
      </c>
      <c r="V119" s="49">
        <v>0</v>
      </c>
      <c r="W119" s="49">
        <v>0</v>
      </c>
      <c r="X119" s="49">
        <v>0</v>
      </c>
      <c r="Y119" s="49">
        <v>0</v>
      </c>
      <c r="Z119" s="49">
        <v>0</v>
      </c>
      <c r="AB119" s="49">
        <v>0</v>
      </c>
      <c r="AC119" s="49">
        <v>0</v>
      </c>
      <c r="AD119" s="49">
        <v>0</v>
      </c>
      <c r="AE119" s="49">
        <v>0</v>
      </c>
    </row>
    <row r="120" spans="19:31" x14ac:dyDescent="0.25">
      <c r="S120" s="49">
        <v>0</v>
      </c>
      <c r="T120" s="49">
        <v>0</v>
      </c>
      <c r="U120" s="49">
        <v>0</v>
      </c>
      <c r="V120" s="49">
        <v>0</v>
      </c>
      <c r="W120" s="49">
        <v>0</v>
      </c>
      <c r="X120" s="49">
        <v>0</v>
      </c>
      <c r="Y120" s="49">
        <v>0</v>
      </c>
      <c r="Z120" s="49">
        <v>0</v>
      </c>
      <c r="AB120" s="49">
        <v>0</v>
      </c>
      <c r="AC120" s="49">
        <v>0</v>
      </c>
      <c r="AD120" s="49">
        <v>0</v>
      </c>
      <c r="AE120" s="49">
        <v>0</v>
      </c>
    </row>
    <row r="121" spans="19:31" x14ac:dyDescent="0.25">
      <c r="S121" s="49">
        <v>0</v>
      </c>
      <c r="T121" s="49">
        <v>0</v>
      </c>
      <c r="U121" s="49">
        <v>0</v>
      </c>
      <c r="V121" s="49">
        <v>0</v>
      </c>
      <c r="W121" s="49">
        <v>0</v>
      </c>
      <c r="X121" s="49">
        <v>0</v>
      </c>
      <c r="Y121" s="49">
        <v>0</v>
      </c>
      <c r="Z121" s="49">
        <v>0</v>
      </c>
      <c r="AB121" s="49">
        <v>0</v>
      </c>
      <c r="AC121" s="49">
        <v>0</v>
      </c>
      <c r="AD121" s="49">
        <v>0</v>
      </c>
      <c r="AE121" s="49">
        <v>0</v>
      </c>
    </row>
    <row r="122" spans="19:31" x14ac:dyDescent="0.25">
      <c r="S122" s="49">
        <v>0</v>
      </c>
      <c r="T122" s="49">
        <v>0</v>
      </c>
      <c r="U122" s="49">
        <v>0</v>
      </c>
      <c r="V122" s="49">
        <v>0</v>
      </c>
      <c r="W122" s="49">
        <v>0</v>
      </c>
      <c r="X122" s="49">
        <v>0</v>
      </c>
      <c r="Y122" s="49">
        <v>0</v>
      </c>
      <c r="Z122" s="49">
        <v>0</v>
      </c>
      <c r="AB122" s="49">
        <v>0</v>
      </c>
      <c r="AC122" s="49">
        <v>0</v>
      </c>
      <c r="AD122" s="49">
        <v>0</v>
      </c>
      <c r="AE122" s="49">
        <v>0</v>
      </c>
    </row>
    <row r="123" spans="19:31" x14ac:dyDescent="0.25">
      <c r="S123" s="49">
        <v>0</v>
      </c>
      <c r="T123" s="49">
        <v>0</v>
      </c>
      <c r="U123" s="49">
        <v>0</v>
      </c>
      <c r="V123" s="49">
        <v>0</v>
      </c>
      <c r="W123" s="49">
        <v>0</v>
      </c>
      <c r="X123" s="49">
        <v>0</v>
      </c>
      <c r="Y123" s="49">
        <v>0</v>
      </c>
      <c r="Z123" s="49">
        <v>0</v>
      </c>
      <c r="AB123" s="49">
        <v>0</v>
      </c>
      <c r="AC123" s="49">
        <v>0</v>
      </c>
      <c r="AD123" s="49">
        <v>0</v>
      </c>
      <c r="AE123" s="49">
        <v>0</v>
      </c>
    </row>
    <row r="124" spans="19:31" x14ac:dyDescent="0.25">
      <c r="S124" s="49">
        <v>0</v>
      </c>
      <c r="T124" s="49">
        <v>0</v>
      </c>
      <c r="U124" s="49">
        <v>0</v>
      </c>
      <c r="V124" s="49">
        <v>0</v>
      </c>
      <c r="W124" s="49">
        <v>0</v>
      </c>
      <c r="X124" s="49">
        <v>0</v>
      </c>
      <c r="Y124" s="49">
        <v>0</v>
      </c>
      <c r="Z124" s="49">
        <v>0</v>
      </c>
      <c r="AB124" s="49">
        <v>0</v>
      </c>
      <c r="AC124" s="49">
        <v>0</v>
      </c>
      <c r="AD124" s="49">
        <v>0</v>
      </c>
      <c r="AE124" s="49">
        <v>0</v>
      </c>
    </row>
    <row r="125" spans="19:31" x14ac:dyDescent="0.25">
      <c r="S125" s="49">
        <v>0</v>
      </c>
      <c r="T125" s="49">
        <v>0</v>
      </c>
      <c r="U125" s="49">
        <v>0</v>
      </c>
      <c r="V125" s="49">
        <v>0</v>
      </c>
      <c r="W125" s="49">
        <v>0</v>
      </c>
      <c r="X125" s="49">
        <v>0</v>
      </c>
      <c r="Y125" s="49">
        <v>0</v>
      </c>
      <c r="Z125" s="49">
        <v>0</v>
      </c>
      <c r="AB125" s="49">
        <v>0</v>
      </c>
      <c r="AC125" s="49">
        <v>0</v>
      </c>
      <c r="AD125" s="49">
        <v>0</v>
      </c>
      <c r="AE125" s="49">
        <v>0</v>
      </c>
    </row>
    <row r="126" spans="19:31" x14ac:dyDescent="0.25">
      <c r="S126" s="49">
        <v>0</v>
      </c>
      <c r="T126" s="49">
        <v>0</v>
      </c>
      <c r="U126" s="49">
        <v>0</v>
      </c>
      <c r="V126" s="49">
        <v>0</v>
      </c>
      <c r="W126" s="49">
        <v>0</v>
      </c>
      <c r="X126" s="49">
        <v>0</v>
      </c>
      <c r="Y126" s="49">
        <v>0</v>
      </c>
      <c r="Z126" s="49">
        <v>0</v>
      </c>
      <c r="AB126" s="49">
        <v>0</v>
      </c>
      <c r="AC126" s="49">
        <v>0</v>
      </c>
      <c r="AD126" s="49">
        <v>0</v>
      </c>
      <c r="AE126" s="49">
        <v>0</v>
      </c>
    </row>
    <row r="127" spans="19:31" x14ac:dyDescent="0.25">
      <c r="S127" s="49">
        <v>0</v>
      </c>
      <c r="T127" s="49">
        <v>0</v>
      </c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B127" s="49">
        <v>0</v>
      </c>
      <c r="AC127" s="49">
        <v>0</v>
      </c>
      <c r="AD127" s="49">
        <v>0</v>
      </c>
      <c r="AE127" s="49">
        <v>0</v>
      </c>
    </row>
    <row r="128" spans="19:31" x14ac:dyDescent="0.25">
      <c r="S128" s="49">
        <v>0</v>
      </c>
      <c r="T128" s="49">
        <v>0</v>
      </c>
      <c r="U128" s="49">
        <v>0</v>
      </c>
      <c r="V128" s="49">
        <v>0</v>
      </c>
      <c r="W128" s="49">
        <v>0</v>
      </c>
      <c r="X128" s="49">
        <v>0</v>
      </c>
      <c r="Y128" s="49">
        <v>0</v>
      </c>
      <c r="Z128" s="49">
        <v>0</v>
      </c>
      <c r="AB128" s="49">
        <v>0</v>
      </c>
      <c r="AC128" s="49">
        <v>0</v>
      </c>
      <c r="AD128" s="49">
        <v>0</v>
      </c>
      <c r="AE128" s="49">
        <v>0</v>
      </c>
    </row>
    <row r="129" spans="19:31" x14ac:dyDescent="0.25">
      <c r="S129" s="49">
        <v>0</v>
      </c>
      <c r="T129" s="49">
        <v>0</v>
      </c>
      <c r="U129" s="49">
        <v>0</v>
      </c>
      <c r="V129" s="49">
        <v>0</v>
      </c>
      <c r="W129" s="49">
        <v>0</v>
      </c>
      <c r="X129" s="49">
        <v>0</v>
      </c>
      <c r="Y129" s="49">
        <v>0</v>
      </c>
      <c r="Z129" s="49">
        <v>0</v>
      </c>
      <c r="AB129" s="49">
        <v>0</v>
      </c>
      <c r="AC129" s="49">
        <v>0</v>
      </c>
      <c r="AD129" s="49">
        <v>0</v>
      </c>
      <c r="AE129" s="49">
        <v>0</v>
      </c>
    </row>
    <row r="130" spans="19:31" x14ac:dyDescent="0.25">
      <c r="S130" s="49">
        <v>0</v>
      </c>
      <c r="T130" s="49">
        <v>0</v>
      </c>
      <c r="U130" s="49">
        <v>0</v>
      </c>
      <c r="V130" s="49">
        <v>0</v>
      </c>
      <c r="W130" s="49">
        <v>0</v>
      </c>
      <c r="X130" s="49">
        <v>0</v>
      </c>
      <c r="Y130" s="49">
        <v>0</v>
      </c>
      <c r="Z130" s="49">
        <v>0</v>
      </c>
      <c r="AB130" s="49">
        <v>0</v>
      </c>
      <c r="AC130" s="49">
        <v>0</v>
      </c>
      <c r="AD130" s="49">
        <v>0</v>
      </c>
      <c r="AE130" s="49">
        <v>0</v>
      </c>
    </row>
    <row r="131" spans="19:31" x14ac:dyDescent="0.25">
      <c r="S131" s="49">
        <v>0</v>
      </c>
      <c r="T131" s="49">
        <v>0</v>
      </c>
      <c r="U131" s="49">
        <v>0</v>
      </c>
      <c r="V131" s="49">
        <v>0</v>
      </c>
      <c r="W131" s="49">
        <v>0</v>
      </c>
      <c r="X131" s="49">
        <v>0</v>
      </c>
      <c r="Y131" s="49">
        <v>0</v>
      </c>
      <c r="Z131" s="49">
        <v>0</v>
      </c>
      <c r="AB131" s="49">
        <v>0</v>
      </c>
      <c r="AC131" s="49">
        <v>0</v>
      </c>
      <c r="AD131" s="49">
        <v>0</v>
      </c>
      <c r="AE131" s="49">
        <v>0</v>
      </c>
    </row>
    <row r="132" spans="19:31" x14ac:dyDescent="0.25">
      <c r="S132" s="49">
        <v>0</v>
      </c>
      <c r="T132" s="49">
        <v>0</v>
      </c>
      <c r="U132" s="49">
        <v>0</v>
      </c>
      <c r="V132" s="49">
        <v>0</v>
      </c>
      <c r="W132" s="49">
        <v>0</v>
      </c>
      <c r="X132" s="49">
        <v>0</v>
      </c>
      <c r="Y132" s="49">
        <v>0</v>
      </c>
      <c r="Z132" s="49">
        <v>0</v>
      </c>
      <c r="AB132" s="49">
        <v>0</v>
      </c>
      <c r="AC132" s="49">
        <v>0</v>
      </c>
      <c r="AD132" s="49">
        <v>0</v>
      </c>
      <c r="AE132" s="49">
        <v>0</v>
      </c>
    </row>
    <row r="133" spans="19:31" x14ac:dyDescent="0.25">
      <c r="S133" s="49">
        <v>0</v>
      </c>
      <c r="T133" s="49">
        <v>0</v>
      </c>
      <c r="U133" s="49">
        <v>0</v>
      </c>
      <c r="V133" s="49">
        <v>0</v>
      </c>
      <c r="W133" s="49">
        <v>0</v>
      </c>
      <c r="X133" s="49">
        <v>0</v>
      </c>
      <c r="Y133" s="49">
        <v>0</v>
      </c>
      <c r="Z133" s="49">
        <v>0</v>
      </c>
      <c r="AB133" s="49">
        <v>0</v>
      </c>
      <c r="AC133" s="49">
        <v>0</v>
      </c>
      <c r="AD133" s="49">
        <v>0</v>
      </c>
      <c r="AE133" s="49">
        <v>0</v>
      </c>
    </row>
    <row r="134" spans="19:31" x14ac:dyDescent="0.25">
      <c r="S134" s="49">
        <v>0</v>
      </c>
      <c r="T134" s="49">
        <v>0</v>
      </c>
      <c r="U134" s="49">
        <v>0</v>
      </c>
      <c r="V134" s="49">
        <v>0</v>
      </c>
      <c r="W134" s="49">
        <v>0</v>
      </c>
      <c r="X134" s="49">
        <v>0</v>
      </c>
      <c r="Y134" s="49">
        <v>0</v>
      </c>
      <c r="Z134" s="49">
        <v>0</v>
      </c>
      <c r="AB134" s="49">
        <v>0</v>
      </c>
      <c r="AC134" s="49">
        <v>0</v>
      </c>
      <c r="AD134" s="49">
        <v>0</v>
      </c>
      <c r="AE134" s="49">
        <v>0</v>
      </c>
    </row>
    <row r="135" spans="19:31" x14ac:dyDescent="0.25">
      <c r="S135" s="49">
        <v>0</v>
      </c>
      <c r="T135" s="49">
        <v>0</v>
      </c>
      <c r="U135" s="49">
        <v>0</v>
      </c>
      <c r="V135" s="49">
        <v>0</v>
      </c>
      <c r="W135" s="49">
        <v>0</v>
      </c>
      <c r="X135" s="49">
        <v>0</v>
      </c>
      <c r="Y135" s="49">
        <v>0</v>
      </c>
      <c r="Z135" s="49">
        <v>0</v>
      </c>
      <c r="AB135" s="49">
        <v>0</v>
      </c>
      <c r="AC135" s="49">
        <v>0</v>
      </c>
      <c r="AD135" s="49">
        <v>0</v>
      </c>
      <c r="AE135" s="49">
        <v>0</v>
      </c>
    </row>
    <row r="136" spans="19:31" x14ac:dyDescent="0.25">
      <c r="S136" s="49">
        <v>0</v>
      </c>
      <c r="T136" s="49">
        <v>0</v>
      </c>
      <c r="U136" s="49">
        <v>0</v>
      </c>
      <c r="V136" s="49">
        <v>0</v>
      </c>
      <c r="W136" s="49">
        <v>0</v>
      </c>
      <c r="X136" s="49">
        <v>0</v>
      </c>
      <c r="Y136" s="49">
        <v>0</v>
      </c>
      <c r="Z136" s="49">
        <v>0</v>
      </c>
      <c r="AB136" s="49">
        <v>0</v>
      </c>
      <c r="AC136" s="49">
        <v>0</v>
      </c>
      <c r="AD136" s="49">
        <v>0</v>
      </c>
      <c r="AE136" s="49">
        <v>0</v>
      </c>
    </row>
    <row r="137" spans="19:31" x14ac:dyDescent="0.25">
      <c r="S137" s="49">
        <v>0</v>
      </c>
      <c r="T137" s="49">
        <v>0</v>
      </c>
      <c r="U137" s="49">
        <v>0</v>
      </c>
      <c r="V137" s="49">
        <v>0</v>
      </c>
      <c r="W137" s="49">
        <v>0</v>
      </c>
      <c r="X137" s="49">
        <v>0</v>
      </c>
      <c r="Y137" s="49">
        <v>0</v>
      </c>
      <c r="Z137" s="49">
        <v>0</v>
      </c>
      <c r="AB137" s="49">
        <v>0</v>
      </c>
      <c r="AC137" s="49">
        <v>0</v>
      </c>
      <c r="AD137" s="49">
        <v>0</v>
      </c>
      <c r="AE137" s="49">
        <v>0</v>
      </c>
    </row>
    <row r="138" spans="19:31" x14ac:dyDescent="0.25">
      <c r="S138" s="49">
        <v>0</v>
      </c>
      <c r="T138" s="49">
        <v>0</v>
      </c>
      <c r="U138" s="49">
        <v>0</v>
      </c>
      <c r="V138" s="49">
        <v>0</v>
      </c>
      <c r="W138" s="49">
        <v>0</v>
      </c>
      <c r="X138" s="49">
        <v>0</v>
      </c>
      <c r="Y138" s="49">
        <v>0</v>
      </c>
      <c r="Z138" s="49">
        <v>0</v>
      </c>
      <c r="AB138" s="49">
        <v>0</v>
      </c>
      <c r="AC138" s="49">
        <v>0</v>
      </c>
      <c r="AD138" s="49">
        <v>0</v>
      </c>
      <c r="AE138" s="49">
        <v>0</v>
      </c>
    </row>
    <row r="139" spans="19:31" x14ac:dyDescent="0.25">
      <c r="S139" s="49"/>
      <c r="T139" s="49"/>
      <c r="U139" s="49"/>
      <c r="V139" s="49"/>
      <c r="W139" s="49"/>
      <c r="X139" s="49"/>
      <c r="Y139" s="49"/>
      <c r="Z139" s="49"/>
      <c r="AB139" s="49"/>
      <c r="AC139" s="49"/>
      <c r="AD139" s="49"/>
      <c r="AE139" s="49"/>
    </row>
    <row r="140" spans="19:31" x14ac:dyDescent="0.25">
      <c r="S140" s="13">
        <f t="shared" ref="S140:Z140" si="4">SUM(S114:S139)</f>
        <v>0</v>
      </c>
      <c r="T140" s="13">
        <f t="shared" si="4"/>
        <v>0</v>
      </c>
      <c r="U140" s="13">
        <f t="shared" si="4"/>
        <v>0</v>
      </c>
      <c r="V140" s="13">
        <f t="shared" si="4"/>
        <v>0</v>
      </c>
      <c r="W140" s="13">
        <f t="shared" si="4"/>
        <v>0</v>
      </c>
      <c r="X140" s="13">
        <f t="shared" si="4"/>
        <v>0</v>
      </c>
      <c r="Y140" s="13">
        <f t="shared" si="4"/>
        <v>0</v>
      </c>
      <c r="Z140" s="13">
        <f t="shared" si="4"/>
        <v>0</v>
      </c>
      <c r="AB140" s="13">
        <f>SUM(AB114:AB139)</f>
        <v>0</v>
      </c>
      <c r="AC140" s="13">
        <f>SUM(AC114:AC139)</f>
        <v>0</v>
      </c>
      <c r="AD140" s="13">
        <f>SUM(AD114:AD139)</f>
        <v>0</v>
      </c>
      <c r="AE140" s="13">
        <f>SUM(AE114:AE139)</f>
        <v>0</v>
      </c>
    </row>
    <row r="141" spans="19:31" x14ac:dyDescent="0.25">
      <c r="S141" s="14">
        <f>S140*11</f>
        <v>0</v>
      </c>
      <c r="T141" s="14">
        <f>T140*66</f>
        <v>0</v>
      </c>
      <c r="U141" s="14">
        <f>U140*11</f>
        <v>0</v>
      </c>
      <c r="V141" s="14">
        <f>V140*66</f>
        <v>0</v>
      </c>
      <c r="W141" s="14">
        <f>W140*11</f>
        <v>0</v>
      </c>
      <c r="X141" s="14">
        <f>X140*66</f>
        <v>0</v>
      </c>
      <c r="Y141" s="14">
        <f>Y140*11</f>
        <v>0</v>
      </c>
      <c r="Z141" s="14">
        <f>Z140*66</f>
        <v>0</v>
      </c>
      <c r="AB141" s="14">
        <f>AB140*11</f>
        <v>0</v>
      </c>
      <c r="AC141" s="14">
        <f>AC140*66</f>
        <v>0</v>
      </c>
      <c r="AD141" s="14">
        <f>AD140*11</f>
        <v>0</v>
      </c>
      <c r="AE141" s="14">
        <f>AE140*66</f>
        <v>0</v>
      </c>
    </row>
    <row r="142" spans="19:31" ht="18.75" x14ac:dyDescent="0.3">
      <c r="S142" s="7" t="s">
        <v>37</v>
      </c>
    </row>
    <row r="143" spans="19:31" x14ac:dyDescent="0.25">
      <c r="S143" s="8" t="s">
        <v>12</v>
      </c>
      <c r="U143" s="8" t="s">
        <v>26</v>
      </c>
      <c r="W143" s="8" t="s">
        <v>27</v>
      </c>
      <c r="Y143" s="8" t="s">
        <v>28</v>
      </c>
      <c r="AB143" s="9" t="s">
        <v>16</v>
      </c>
      <c r="AD143" s="10" t="s">
        <v>10</v>
      </c>
    </row>
    <row r="144" spans="19:31" x14ac:dyDescent="0.25">
      <c r="S144" s="11" t="s">
        <v>17</v>
      </c>
      <c r="U144" s="11" t="s">
        <v>18</v>
      </c>
      <c r="W144" s="11" t="s">
        <v>19</v>
      </c>
      <c r="Y144" s="11" t="s">
        <v>20</v>
      </c>
      <c r="AB144" s="11" t="s">
        <v>38</v>
      </c>
      <c r="AD144" s="11" t="s">
        <v>38</v>
      </c>
    </row>
    <row r="145" spans="19:31" x14ac:dyDescent="0.25">
      <c r="S145" s="12" t="s">
        <v>22</v>
      </c>
      <c r="T145" s="12" t="s">
        <v>23</v>
      </c>
      <c r="U145" s="12" t="s">
        <v>22</v>
      </c>
      <c r="V145" s="12" t="s">
        <v>23</v>
      </c>
      <c r="W145" s="12" t="s">
        <v>22</v>
      </c>
      <c r="X145" s="12" t="s">
        <v>23</v>
      </c>
      <c r="Y145" s="12" t="s">
        <v>22</v>
      </c>
      <c r="Z145" s="12" t="s">
        <v>23</v>
      </c>
      <c r="AB145" s="12" t="s">
        <v>22</v>
      </c>
      <c r="AC145" s="12" t="s">
        <v>23</v>
      </c>
      <c r="AD145" s="12" t="s">
        <v>22</v>
      </c>
      <c r="AE145" s="12" t="s">
        <v>23</v>
      </c>
    </row>
    <row r="146" spans="19:31" x14ac:dyDescent="0.25">
      <c r="S146" s="49">
        <v>0</v>
      </c>
      <c r="T146" s="49">
        <v>0</v>
      </c>
      <c r="U146" s="49">
        <v>0</v>
      </c>
      <c r="V146" s="49">
        <v>0</v>
      </c>
      <c r="W146" s="49">
        <v>0</v>
      </c>
      <c r="X146" s="49">
        <v>0</v>
      </c>
      <c r="Y146" s="49">
        <v>0</v>
      </c>
      <c r="Z146" s="49">
        <v>0</v>
      </c>
      <c r="AB146" s="49">
        <v>0</v>
      </c>
      <c r="AC146" s="49">
        <v>0</v>
      </c>
      <c r="AD146" s="49">
        <v>0</v>
      </c>
      <c r="AE146" s="49">
        <v>0</v>
      </c>
    </row>
    <row r="147" spans="19:31" x14ac:dyDescent="0.25">
      <c r="S147" s="49">
        <v>0</v>
      </c>
      <c r="T147" s="49">
        <v>0</v>
      </c>
      <c r="U147" s="49">
        <v>0</v>
      </c>
      <c r="V147" s="49">
        <v>0</v>
      </c>
      <c r="W147" s="49">
        <v>0</v>
      </c>
      <c r="X147" s="49">
        <v>0</v>
      </c>
      <c r="Y147" s="49">
        <v>0</v>
      </c>
      <c r="Z147" s="49">
        <v>0</v>
      </c>
      <c r="AB147" s="49">
        <v>0</v>
      </c>
      <c r="AC147" s="49">
        <v>0</v>
      </c>
      <c r="AD147" s="49">
        <v>0</v>
      </c>
      <c r="AE147" s="49">
        <v>0</v>
      </c>
    </row>
    <row r="148" spans="19:31" x14ac:dyDescent="0.25">
      <c r="S148" s="49">
        <v>0</v>
      </c>
      <c r="T148" s="49">
        <v>0</v>
      </c>
      <c r="U148" s="49">
        <v>0</v>
      </c>
      <c r="V148" s="49">
        <v>0</v>
      </c>
      <c r="W148" s="49">
        <v>0</v>
      </c>
      <c r="X148" s="49">
        <v>0</v>
      </c>
      <c r="Y148" s="49">
        <v>0</v>
      </c>
      <c r="Z148" s="49">
        <v>0</v>
      </c>
      <c r="AB148" s="49">
        <v>0</v>
      </c>
      <c r="AC148" s="49">
        <v>0</v>
      </c>
      <c r="AD148" s="49">
        <v>0</v>
      </c>
      <c r="AE148" s="49">
        <v>0</v>
      </c>
    </row>
    <row r="149" spans="19:31" x14ac:dyDescent="0.25">
      <c r="S149" s="49">
        <v>0</v>
      </c>
      <c r="T149" s="49">
        <v>0</v>
      </c>
      <c r="U149" s="49">
        <v>0</v>
      </c>
      <c r="V149" s="49">
        <v>0</v>
      </c>
      <c r="W149" s="49">
        <v>0</v>
      </c>
      <c r="X149" s="49">
        <v>0</v>
      </c>
      <c r="Y149" s="49">
        <v>0</v>
      </c>
      <c r="Z149" s="49">
        <v>0</v>
      </c>
      <c r="AB149" s="49">
        <v>0</v>
      </c>
      <c r="AC149" s="49">
        <v>0</v>
      </c>
      <c r="AD149" s="49">
        <v>0</v>
      </c>
      <c r="AE149" s="49">
        <v>0</v>
      </c>
    </row>
    <row r="150" spans="19:31" x14ac:dyDescent="0.25">
      <c r="S150" s="49">
        <v>0</v>
      </c>
      <c r="T150" s="49">
        <v>0</v>
      </c>
      <c r="U150" s="49">
        <v>0</v>
      </c>
      <c r="V150" s="49">
        <v>0</v>
      </c>
      <c r="W150" s="49">
        <v>0</v>
      </c>
      <c r="X150" s="49">
        <v>0</v>
      </c>
      <c r="Y150" s="49">
        <v>0</v>
      </c>
      <c r="Z150" s="49">
        <v>0</v>
      </c>
      <c r="AB150" s="49">
        <v>0</v>
      </c>
      <c r="AC150" s="49">
        <v>0</v>
      </c>
      <c r="AD150" s="49">
        <v>0</v>
      </c>
      <c r="AE150" s="49">
        <v>0</v>
      </c>
    </row>
    <row r="151" spans="19:31" x14ac:dyDescent="0.25">
      <c r="S151" s="49">
        <v>0</v>
      </c>
      <c r="T151" s="49">
        <v>0</v>
      </c>
      <c r="U151" s="49">
        <v>0</v>
      </c>
      <c r="V151" s="49">
        <v>0</v>
      </c>
      <c r="W151" s="49">
        <v>0</v>
      </c>
      <c r="X151" s="49">
        <v>0</v>
      </c>
      <c r="Y151" s="49">
        <v>0</v>
      </c>
      <c r="Z151" s="49">
        <v>0</v>
      </c>
      <c r="AB151" s="49">
        <v>0</v>
      </c>
      <c r="AC151" s="49">
        <v>0</v>
      </c>
      <c r="AD151" s="49">
        <v>0</v>
      </c>
      <c r="AE151" s="49">
        <v>0</v>
      </c>
    </row>
    <row r="152" spans="19:31" x14ac:dyDescent="0.25">
      <c r="S152" s="49">
        <v>0</v>
      </c>
      <c r="T152" s="49">
        <v>0</v>
      </c>
      <c r="U152" s="49">
        <v>0</v>
      </c>
      <c r="V152" s="49">
        <v>0</v>
      </c>
      <c r="W152" s="49">
        <v>0</v>
      </c>
      <c r="X152" s="49">
        <v>0</v>
      </c>
      <c r="Y152" s="49">
        <v>0</v>
      </c>
      <c r="Z152" s="49">
        <v>0</v>
      </c>
      <c r="AB152" s="49">
        <v>0</v>
      </c>
      <c r="AC152" s="49">
        <v>0</v>
      </c>
      <c r="AD152" s="49">
        <v>0</v>
      </c>
      <c r="AE152" s="49">
        <v>0</v>
      </c>
    </row>
    <row r="153" spans="19:31" x14ac:dyDescent="0.25">
      <c r="S153" s="49">
        <v>0</v>
      </c>
      <c r="T153" s="49">
        <v>0</v>
      </c>
      <c r="U153" s="49">
        <v>0</v>
      </c>
      <c r="V153" s="49">
        <v>0</v>
      </c>
      <c r="W153" s="49">
        <v>0</v>
      </c>
      <c r="X153" s="49">
        <v>0</v>
      </c>
      <c r="Y153" s="49">
        <v>0</v>
      </c>
      <c r="Z153" s="49">
        <v>0</v>
      </c>
      <c r="AB153" s="49">
        <v>0</v>
      </c>
      <c r="AC153" s="49">
        <v>0</v>
      </c>
      <c r="AD153" s="49">
        <v>0</v>
      </c>
      <c r="AE153" s="49">
        <v>0</v>
      </c>
    </row>
    <row r="154" spans="19:31" x14ac:dyDescent="0.25">
      <c r="S154" s="49">
        <v>0</v>
      </c>
      <c r="T154" s="49">
        <v>0</v>
      </c>
      <c r="U154" s="49">
        <v>0</v>
      </c>
      <c r="V154" s="49">
        <v>0</v>
      </c>
      <c r="W154" s="49">
        <v>0</v>
      </c>
      <c r="X154" s="49">
        <v>0</v>
      </c>
      <c r="Y154" s="49">
        <v>0</v>
      </c>
      <c r="Z154" s="49">
        <v>0</v>
      </c>
      <c r="AB154" s="49">
        <v>0</v>
      </c>
      <c r="AC154" s="49">
        <v>0</v>
      </c>
      <c r="AD154" s="49">
        <v>0</v>
      </c>
      <c r="AE154" s="49">
        <v>0</v>
      </c>
    </row>
    <row r="155" spans="19:31" x14ac:dyDescent="0.25">
      <c r="S155" s="49">
        <v>0</v>
      </c>
      <c r="T155" s="49">
        <v>0</v>
      </c>
      <c r="U155" s="49">
        <v>0</v>
      </c>
      <c r="V155" s="49">
        <v>0</v>
      </c>
      <c r="W155" s="49">
        <v>0</v>
      </c>
      <c r="X155" s="49">
        <v>0</v>
      </c>
      <c r="Y155" s="49">
        <v>0</v>
      </c>
      <c r="Z155" s="49">
        <v>0</v>
      </c>
      <c r="AB155" s="49">
        <v>0</v>
      </c>
      <c r="AC155" s="49">
        <v>0</v>
      </c>
      <c r="AD155" s="49">
        <v>0</v>
      </c>
      <c r="AE155" s="49">
        <v>0</v>
      </c>
    </row>
    <row r="156" spans="19:31" x14ac:dyDescent="0.25">
      <c r="S156" s="49">
        <v>0</v>
      </c>
      <c r="T156" s="49">
        <v>0</v>
      </c>
      <c r="U156" s="49">
        <v>0</v>
      </c>
      <c r="V156" s="49">
        <v>0</v>
      </c>
      <c r="W156" s="49">
        <v>0</v>
      </c>
      <c r="X156" s="49">
        <v>0</v>
      </c>
      <c r="Y156" s="49">
        <v>0</v>
      </c>
      <c r="Z156" s="49">
        <v>0</v>
      </c>
      <c r="AB156" s="49">
        <v>0</v>
      </c>
      <c r="AC156" s="49">
        <v>0</v>
      </c>
      <c r="AD156" s="49">
        <v>0</v>
      </c>
      <c r="AE156" s="49">
        <v>0</v>
      </c>
    </row>
    <row r="157" spans="19:31" x14ac:dyDescent="0.25">
      <c r="S157" s="49">
        <v>0</v>
      </c>
      <c r="T157" s="49">
        <v>0</v>
      </c>
      <c r="U157" s="49">
        <v>0</v>
      </c>
      <c r="V157" s="49">
        <v>0</v>
      </c>
      <c r="W157" s="49">
        <v>0</v>
      </c>
      <c r="X157" s="49">
        <v>0</v>
      </c>
      <c r="Y157" s="49">
        <v>0</v>
      </c>
      <c r="Z157" s="49">
        <v>0</v>
      </c>
      <c r="AB157" s="49">
        <v>0</v>
      </c>
      <c r="AC157" s="49">
        <v>0</v>
      </c>
      <c r="AD157" s="49">
        <v>0</v>
      </c>
      <c r="AE157" s="49">
        <v>0</v>
      </c>
    </row>
    <row r="158" spans="19:31" x14ac:dyDescent="0.25">
      <c r="S158" s="49">
        <v>0</v>
      </c>
      <c r="T158" s="49">
        <v>0</v>
      </c>
      <c r="U158" s="49">
        <v>0</v>
      </c>
      <c r="V158" s="49">
        <v>0</v>
      </c>
      <c r="W158" s="49">
        <v>0</v>
      </c>
      <c r="X158" s="49">
        <v>0</v>
      </c>
      <c r="Y158" s="49">
        <v>0</v>
      </c>
      <c r="Z158" s="49">
        <v>0</v>
      </c>
      <c r="AB158" s="49">
        <v>0</v>
      </c>
      <c r="AC158" s="49">
        <v>0</v>
      </c>
      <c r="AD158" s="49">
        <v>0</v>
      </c>
      <c r="AE158" s="49">
        <v>0</v>
      </c>
    </row>
    <row r="159" spans="19:31" x14ac:dyDescent="0.25">
      <c r="S159" s="49">
        <v>0</v>
      </c>
      <c r="T159" s="49">
        <v>0</v>
      </c>
      <c r="U159" s="49">
        <v>0</v>
      </c>
      <c r="V159" s="49">
        <v>0</v>
      </c>
      <c r="W159" s="49">
        <v>0</v>
      </c>
      <c r="X159" s="49">
        <v>0</v>
      </c>
      <c r="Y159" s="49">
        <v>0</v>
      </c>
      <c r="Z159" s="49">
        <v>0</v>
      </c>
      <c r="AB159" s="49">
        <v>0</v>
      </c>
      <c r="AC159" s="49">
        <v>0</v>
      </c>
      <c r="AD159" s="49">
        <v>0</v>
      </c>
      <c r="AE159" s="49">
        <v>0</v>
      </c>
    </row>
    <row r="160" spans="19:31" x14ac:dyDescent="0.25">
      <c r="S160" s="49">
        <v>0</v>
      </c>
      <c r="T160" s="49">
        <v>0</v>
      </c>
      <c r="U160" s="49">
        <v>0</v>
      </c>
      <c r="V160" s="49">
        <v>0</v>
      </c>
      <c r="W160" s="49">
        <v>0</v>
      </c>
      <c r="X160" s="49">
        <v>0</v>
      </c>
      <c r="Y160" s="49">
        <v>0</v>
      </c>
      <c r="Z160" s="49">
        <v>0</v>
      </c>
      <c r="AB160" s="49">
        <v>0</v>
      </c>
      <c r="AC160" s="49">
        <v>0</v>
      </c>
      <c r="AD160" s="49">
        <v>0</v>
      </c>
      <c r="AE160" s="49">
        <v>0</v>
      </c>
    </row>
    <row r="161" spans="1:31" x14ac:dyDescent="0.25">
      <c r="S161" s="49">
        <v>0</v>
      </c>
      <c r="T161" s="49">
        <v>0</v>
      </c>
      <c r="U161" s="49">
        <v>0</v>
      </c>
      <c r="V161" s="49">
        <v>0</v>
      </c>
      <c r="W161" s="49">
        <v>0</v>
      </c>
      <c r="X161" s="49">
        <v>0</v>
      </c>
      <c r="Y161" s="49">
        <v>0</v>
      </c>
      <c r="Z161" s="49">
        <v>0</v>
      </c>
      <c r="AB161" s="49">
        <v>0</v>
      </c>
      <c r="AC161" s="49">
        <v>0</v>
      </c>
      <c r="AD161" s="49">
        <v>0</v>
      </c>
      <c r="AE161" s="49">
        <v>0</v>
      </c>
    </row>
    <row r="162" spans="1:31" x14ac:dyDescent="0.25">
      <c r="S162" s="49">
        <v>0</v>
      </c>
      <c r="T162" s="49">
        <v>0</v>
      </c>
      <c r="U162" s="49">
        <v>0</v>
      </c>
      <c r="V162" s="49">
        <v>0</v>
      </c>
      <c r="W162" s="49">
        <v>0</v>
      </c>
      <c r="X162" s="49">
        <v>0</v>
      </c>
      <c r="Y162" s="49">
        <v>0</v>
      </c>
      <c r="Z162" s="49">
        <v>0</v>
      </c>
      <c r="AB162" s="49">
        <v>0</v>
      </c>
      <c r="AC162" s="49">
        <v>0</v>
      </c>
      <c r="AD162" s="49">
        <v>0</v>
      </c>
      <c r="AE162" s="49">
        <v>0</v>
      </c>
    </row>
    <row r="163" spans="1:31" x14ac:dyDescent="0.25">
      <c r="S163" s="49">
        <v>0</v>
      </c>
      <c r="T163" s="49">
        <v>0</v>
      </c>
      <c r="U163" s="49">
        <v>0</v>
      </c>
      <c r="V163" s="49">
        <v>0</v>
      </c>
      <c r="W163" s="49">
        <v>0</v>
      </c>
      <c r="X163" s="49">
        <v>0</v>
      </c>
      <c r="Y163" s="49">
        <v>0</v>
      </c>
      <c r="Z163" s="49">
        <v>0</v>
      </c>
      <c r="AB163" s="49">
        <v>0</v>
      </c>
      <c r="AC163" s="49">
        <v>0</v>
      </c>
      <c r="AD163" s="49">
        <v>0</v>
      </c>
      <c r="AE163" s="49">
        <v>0</v>
      </c>
    </row>
    <row r="164" spans="1:31" x14ac:dyDescent="0.25">
      <c r="S164" s="49">
        <v>0</v>
      </c>
      <c r="T164" s="49">
        <v>0</v>
      </c>
      <c r="U164" s="49">
        <v>0</v>
      </c>
      <c r="V164" s="49">
        <v>0</v>
      </c>
      <c r="W164" s="49">
        <v>0</v>
      </c>
      <c r="X164" s="49">
        <v>0</v>
      </c>
      <c r="Y164" s="49">
        <v>0</v>
      </c>
      <c r="Z164" s="49">
        <v>0</v>
      </c>
      <c r="AB164" s="49">
        <v>0</v>
      </c>
      <c r="AC164" s="49">
        <v>0</v>
      </c>
      <c r="AD164" s="49">
        <v>0</v>
      </c>
      <c r="AE164" s="49">
        <v>0</v>
      </c>
    </row>
    <row r="165" spans="1:31" x14ac:dyDescent="0.25">
      <c r="S165" s="49">
        <v>0</v>
      </c>
      <c r="T165" s="49">
        <v>0</v>
      </c>
      <c r="U165" s="49">
        <v>0</v>
      </c>
      <c r="V165" s="49">
        <v>0</v>
      </c>
      <c r="W165" s="49">
        <v>0</v>
      </c>
      <c r="X165" s="49">
        <v>0</v>
      </c>
      <c r="Y165" s="49">
        <v>0</v>
      </c>
      <c r="Z165" s="49">
        <v>0</v>
      </c>
      <c r="AB165" s="49">
        <v>0</v>
      </c>
      <c r="AC165" s="49">
        <v>0</v>
      </c>
      <c r="AD165" s="49">
        <v>0</v>
      </c>
      <c r="AE165" s="49">
        <v>0</v>
      </c>
    </row>
    <row r="166" spans="1:31" x14ac:dyDescent="0.25">
      <c r="S166" s="49">
        <v>0</v>
      </c>
      <c r="T166" s="49">
        <v>0</v>
      </c>
      <c r="U166" s="49">
        <v>0</v>
      </c>
      <c r="V166" s="49">
        <v>0</v>
      </c>
      <c r="W166" s="49">
        <v>0</v>
      </c>
      <c r="X166" s="49">
        <v>0</v>
      </c>
      <c r="Y166" s="49">
        <v>0</v>
      </c>
      <c r="Z166" s="49">
        <v>0</v>
      </c>
      <c r="AB166" s="49">
        <v>0</v>
      </c>
      <c r="AC166" s="49">
        <v>0</v>
      </c>
      <c r="AD166" s="49">
        <v>0</v>
      </c>
      <c r="AE166" s="49">
        <v>0</v>
      </c>
    </row>
    <row r="167" spans="1:31" x14ac:dyDescent="0.25">
      <c r="S167" s="49">
        <v>0</v>
      </c>
      <c r="T167" s="49">
        <v>0</v>
      </c>
      <c r="U167" s="49">
        <v>0</v>
      </c>
      <c r="V167" s="49">
        <v>0</v>
      </c>
      <c r="W167" s="49">
        <v>0</v>
      </c>
      <c r="X167" s="49">
        <v>0</v>
      </c>
      <c r="Y167" s="49">
        <v>0</v>
      </c>
      <c r="Z167" s="49">
        <v>0</v>
      </c>
      <c r="AB167" s="49">
        <v>0</v>
      </c>
      <c r="AC167" s="49">
        <v>0</v>
      </c>
      <c r="AD167" s="49">
        <v>0</v>
      </c>
      <c r="AE167" s="49">
        <v>0</v>
      </c>
    </row>
    <row r="168" spans="1:31" x14ac:dyDescent="0.25">
      <c r="S168" s="49">
        <v>0</v>
      </c>
      <c r="T168" s="49">
        <v>0</v>
      </c>
      <c r="U168" s="49">
        <v>0</v>
      </c>
      <c r="V168" s="49">
        <v>0</v>
      </c>
      <c r="W168" s="49">
        <v>0</v>
      </c>
      <c r="X168" s="49">
        <v>0</v>
      </c>
      <c r="Y168" s="49">
        <v>0</v>
      </c>
      <c r="Z168" s="49">
        <v>0</v>
      </c>
      <c r="AB168" s="49">
        <v>0</v>
      </c>
      <c r="AC168" s="49">
        <v>0</v>
      </c>
      <c r="AD168" s="49">
        <v>0</v>
      </c>
      <c r="AE168" s="49">
        <v>0</v>
      </c>
    </row>
    <row r="169" spans="1:31" x14ac:dyDescent="0.25">
      <c r="S169" s="49">
        <v>0</v>
      </c>
      <c r="T169" s="49">
        <v>0</v>
      </c>
      <c r="U169" s="49">
        <v>0</v>
      </c>
      <c r="V169" s="49">
        <v>0</v>
      </c>
      <c r="W169" s="49">
        <v>0</v>
      </c>
      <c r="X169" s="49">
        <v>0</v>
      </c>
      <c r="Y169" s="49">
        <v>0</v>
      </c>
      <c r="Z169" s="49">
        <v>0</v>
      </c>
      <c r="AB169" s="49">
        <v>0</v>
      </c>
      <c r="AC169" s="49">
        <v>0</v>
      </c>
      <c r="AD169" s="49">
        <v>0</v>
      </c>
      <c r="AE169" s="49">
        <v>0</v>
      </c>
    </row>
    <row r="170" spans="1:31" x14ac:dyDescent="0.25">
      <c r="S170" s="49">
        <v>0</v>
      </c>
      <c r="T170" s="49">
        <v>0</v>
      </c>
      <c r="U170" s="49">
        <v>0</v>
      </c>
      <c r="V170" s="49">
        <v>0</v>
      </c>
      <c r="W170" s="49">
        <v>0</v>
      </c>
      <c r="X170" s="49">
        <v>0</v>
      </c>
      <c r="Y170" s="49">
        <v>0</v>
      </c>
      <c r="Z170" s="49">
        <v>0</v>
      </c>
      <c r="AB170" s="49">
        <v>0</v>
      </c>
      <c r="AC170" s="49">
        <v>0</v>
      </c>
      <c r="AD170" s="49">
        <v>0</v>
      </c>
      <c r="AE170" s="49">
        <v>0</v>
      </c>
    </row>
    <row r="171" spans="1:31" x14ac:dyDescent="0.25">
      <c r="S171" s="49"/>
      <c r="T171" s="49"/>
      <c r="U171" s="49"/>
      <c r="V171" s="49"/>
      <c r="W171" s="49"/>
      <c r="X171" s="49"/>
      <c r="Y171" s="49"/>
      <c r="Z171" s="49"/>
      <c r="AB171" s="49"/>
      <c r="AC171" s="49"/>
      <c r="AD171" s="49"/>
      <c r="AE171" s="49"/>
    </row>
    <row r="172" spans="1:31" x14ac:dyDescent="0.25">
      <c r="S172" s="13">
        <f t="shared" ref="S172:Z172" si="5">SUM(S146:S171)</f>
        <v>0</v>
      </c>
      <c r="T172" s="13">
        <f t="shared" si="5"/>
        <v>0</v>
      </c>
      <c r="U172" s="13">
        <f t="shared" si="5"/>
        <v>0</v>
      </c>
      <c r="V172" s="13">
        <f t="shared" si="5"/>
        <v>0</v>
      </c>
      <c r="W172" s="13">
        <f t="shared" si="5"/>
        <v>0</v>
      </c>
      <c r="X172" s="13">
        <f t="shared" si="5"/>
        <v>0</v>
      </c>
      <c r="Y172" s="13">
        <f t="shared" si="5"/>
        <v>0</v>
      </c>
      <c r="Z172" s="13">
        <f t="shared" si="5"/>
        <v>0</v>
      </c>
      <c r="AB172" s="13">
        <f>SUM(AB146:AB171)</f>
        <v>0</v>
      </c>
      <c r="AC172" s="13">
        <f>SUM(AC146:AC171)</f>
        <v>0</v>
      </c>
      <c r="AD172" s="13">
        <f>SUM(AD146:AD171)</f>
        <v>0</v>
      </c>
      <c r="AE172" s="13">
        <f>SUM(AE146:AE171)</f>
        <v>0</v>
      </c>
    </row>
    <row r="173" spans="1:31" x14ac:dyDescent="0.25">
      <c r="S173" s="14">
        <f>S172*11</f>
        <v>0</v>
      </c>
      <c r="T173" s="14">
        <f>T172*66</f>
        <v>0</v>
      </c>
      <c r="U173" s="14">
        <f>U172*11</f>
        <v>0</v>
      </c>
      <c r="V173" s="14">
        <f>V172*66</f>
        <v>0</v>
      </c>
      <c r="W173" s="14">
        <f>W172*11</f>
        <v>0</v>
      </c>
      <c r="X173" s="14">
        <f>X172*66</f>
        <v>0</v>
      </c>
      <c r="Y173" s="14">
        <f>Y172*11</f>
        <v>0</v>
      </c>
      <c r="Z173" s="14">
        <f>Z172*66</f>
        <v>0</v>
      </c>
      <c r="AB173" s="14">
        <f>AB172*11</f>
        <v>0</v>
      </c>
      <c r="AC173" s="14">
        <f>AC172*66</f>
        <v>0</v>
      </c>
      <c r="AD173" s="14">
        <f>AD172*11</f>
        <v>0</v>
      </c>
      <c r="AE173" s="14">
        <f>AE172*66</f>
        <v>0</v>
      </c>
    </row>
    <row r="175" spans="1:31" x14ac:dyDescent="0.25">
      <c r="A175" s="48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0C38-9F75-4759-BE14-BB8AF21CF04C}">
  <dimension ref="A1:F30"/>
  <sheetViews>
    <sheetView zoomScale="70" zoomScaleNormal="70" workbookViewId="0">
      <selection activeCell="F15" sqref="F15"/>
    </sheetView>
  </sheetViews>
  <sheetFormatPr defaultRowHeight="15" x14ac:dyDescent="0.25"/>
  <cols>
    <col min="1" max="2" width="21" customWidth="1"/>
    <col min="3" max="3" width="19" customWidth="1"/>
    <col min="4" max="4" width="20" customWidth="1"/>
    <col min="5" max="5" width="24.7109375" customWidth="1"/>
    <col min="6" max="6" width="47.5703125" customWidth="1"/>
  </cols>
  <sheetData>
    <row r="1" spans="1:6" ht="18.75" x14ac:dyDescent="0.25">
      <c r="A1" s="116" t="s">
        <v>262</v>
      </c>
      <c r="B1" s="59"/>
      <c r="C1" s="59"/>
      <c r="D1" s="59"/>
      <c r="E1" s="59"/>
      <c r="F1" s="59"/>
    </row>
    <row r="2" spans="1:6" x14ac:dyDescent="0.25">
      <c r="A2" s="117" t="s">
        <v>263</v>
      </c>
      <c r="B2" s="59"/>
      <c r="C2" s="59"/>
      <c r="D2" s="59"/>
      <c r="E2" s="59"/>
      <c r="F2" s="59"/>
    </row>
    <row r="3" spans="1:6" x14ac:dyDescent="0.25">
      <c r="A3" s="59"/>
      <c r="B3" s="59"/>
      <c r="C3" s="59"/>
      <c r="D3" s="59"/>
      <c r="E3" s="59"/>
      <c r="F3" s="59"/>
    </row>
    <row r="4" spans="1:6" x14ac:dyDescent="0.25">
      <c r="A4" s="120" t="s">
        <v>264</v>
      </c>
      <c r="B4" s="120" t="s">
        <v>237</v>
      </c>
      <c r="C4" s="120" t="s">
        <v>44</v>
      </c>
      <c r="D4" s="120" t="s">
        <v>265</v>
      </c>
      <c r="E4" s="120" t="s">
        <v>266</v>
      </c>
      <c r="F4" s="120" t="s">
        <v>267</v>
      </c>
    </row>
    <row r="5" spans="1:6" ht="30" x14ac:dyDescent="0.25">
      <c r="A5" s="121">
        <f>'Tote Count Entry'!C10</f>
        <v>0</v>
      </c>
      <c r="B5" s="121">
        <f>'Tote Count Entry'!D10</f>
        <v>0</v>
      </c>
      <c r="C5" s="121">
        <f>'Tote Count Entry'!J10</f>
        <v>0</v>
      </c>
      <c r="D5" s="121">
        <f>'Tote Count Entry'!I10</f>
        <v>0</v>
      </c>
      <c r="E5" s="121">
        <f>'Demand Calculator'!B10</f>
        <v>0</v>
      </c>
      <c r="F5" s="122" t="str">
        <f>'Demand Calculator'!B26</f>
        <v>REDISTRIBUTE - Building has 0 surplus totes (0 pallets). Move to pick areas.</v>
      </c>
    </row>
    <row r="6" spans="1:6" x14ac:dyDescent="0.25">
      <c r="A6" s="123"/>
      <c r="B6" s="123"/>
      <c r="C6" s="123"/>
      <c r="D6" s="123"/>
      <c r="E6" s="123"/>
      <c r="F6" s="123"/>
    </row>
    <row r="7" spans="1:6" ht="15.75" x14ac:dyDescent="0.25">
      <c r="A7" s="124" t="s">
        <v>268</v>
      </c>
      <c r="B7" s="123"/>
      <c r="C7" s="123"/>
      <c r="D7" s="123"/>
      <c r="E7" s="123"/>
      <c r="F7" s="123"/>
    </row>
    <row r="8" spans="1:6" x14ac:dyDescent="0.25">
      <c r="A8" s="120" t="s">
        <v>2</v>
      </c>
      <c r="B8" s="120" t="s">
        <v>237</v>
      </c>
      <c r="C8" s="120" t="s">
        <v>266</v>
      </c>
      <c r="D8" s="120" t="s">
        <v>48</v>
      </c>
      <c r="E8" s="120" t="s">
        <v>269</v>
      </c>
      <c r="F8" s="125" t="s">
        <v>49</v>
      </c>
    </row>
    <row r="9" spans="1:6" ht="30" x14ac:dyDescent="0.25">
      <c r="A9" s="123" t="s">
        <v>11</v>
      </c>
      <c r="B9" s="126">
        <f>'Building Overview'!C4</f>
        <v>0</v>
      </c>
      <c r="C9" s="126">
        <f>0</f>
        <v>0</v>
      </c>
      <c r="D9" s="126">
        <f t="shared" ref="D9:D14" si="0">B9-C9</f>
        <v>0</v>
      </c>
      <c r="E9" s="126">
        <f>CEILING(ABS(D9)/66,1)</f>
        <v>0</v>
      </c>
      <c r="F9" s="127" t="str">
        <f>'Building Overview'!G4</f>
        <v>ON TARGET</v>
      </c>
    </row>
    <row r="10" spans="1:6" x14ac:dyDescent="0.25">
      <c r="A10" s="123" t="s">
        <v>25</v>
      </c>
      <c r="B10" s="126">
        <f>'Building Overview'!C10</f>
        <v>0</v>
      </c>
      <c r="C10" s="126">
        <f>'Building Overview'!E10</f>
        <v>0</v>
      </c>
      <c r="D10" s="126">
        <f t="shared" si="0"/>
        <v>0</v>
      </c>
      <c r="E10" s="126">
        <f>IF(D10&gt;=0,CEILING(D10/66,1),-CEILING(ABS(D10)/66,1))</f>
        <v>0</v>
      </c>
      <c r="F10" s="127" t="str">
        <f>'Building Overview'!G10</f>
        <v>REDISTRIBUTE 0 totes to WEST (0 pallets avail)</v>
      </c>
    </row>
    <row r="11" spans="1:6" x14ac:dyDescent="0.25">
      <c r="A11" s="123" t="s">
        <v>31</v>
      </c>
      <c r="B11" s="126">
        <f>'Building Overview'!C15</f>
        <v>0</v>
      </c>
      <c r="C11" s="126">
        <f>'Building Overview'!E15</f>
        <v>0</v>
      </c>
      <c r="D11" s="126">
        <f t="shared" si="0"/>
        <v>0</v>
      </c>
      <c r="E11" s="126">
        <f>IF(D11&gt;=0,CEILING(D11/66,1),-CEILING(ABS(D11)/66,1))</f>
        <v>0</v>
      </c>
      <c r="F11" s="127" t="str">
        <f>'Building Overview'!G15</f>
        <v>REDISTRIBUTE 0 totes to WEST (0 pallets avail)</v>
      </c>
    </row>
    <row r="12" spans="1:6" x14ac:dyDescent="0.25">
      <c r="A12" s="123" t="s">
        <v>34</v>
      </c>
      <c r="B12" s="126">
        <f>'Building Overview'!C20</f>
        <v>0</v>
      </c>
      <c r="C12" s="126">
        <f>'Building Overview'!E20</f>
        <v>0</v>
      </c>
      <c r="D12" s="126">
        <f t="shared" si="0"/>
        <v>0</v>
      </c>
      <c r="E12" s="126">
        <f>IF(D12&gt;=0,CEILING(D12/66,1),-CEILING(ABS(D12)/66,1))</f>
        <v>0</v>
      </c>
      <c r="F12" s="127" t="str">
        <f>'Building Overview'!G20</f>
        <v>REDISTRIBUTE 0 totes to WEST (0 pallets avail)</v>
      </c>
    </row>
    <row r="13" spans="1:6" ht="30" x14ac:dyDescent="0.25">
      <c r="A13" s="123" t="s">
        <v>37</v>
      </c>
      <c r="B13" s="126">
        <f>'Building Overview'!C23</f>
        <v>0</v>
      </c>
      <c r="C13" s="126">
        <f>'Building Overview'!E23</f>
        <v>0</v>
      </c>
      <c r="D13" s="126">
        <f t="shared" si="0"/>
        <v>0</v>
      </c>
      <c r="E13" s="126">
        <f>IF(D13&gt;=0,CEILING(D13/66,1),-CEILING(ABS(D13)/66,1))</f>
        <v>0</v>
      </c>
      <c r="F13" s="127" t="str">
        <f>'Building Overview'!G23</f>
        <v>REDISTRIBUTE within floor - 0 tote surplus (0 pallets)</v>
      </c>
    </row>
    <row r="14" spans="1:6" ht="30" x14ac:dyDescent="0.25">
      <c r="A14" s="128" t="s">
        <v>50</v>
      </c>
      <c r="B14" s="129">
        <f>SUM(B9:B13)</f>
        <v>0</v>
      </c>
      <c r="C14" s="129">
        <f>SUM(C9:C13)</f>
        <v>0</v>
      </c>
      <c r="D14" s="129">
        <f t="shared" si="0"/>
        <v>0</v>
      </c>
      <c r="E14" s="129">
        <f>IF(D14&gt;=0,CEILING(D14/66,1),-CEILING(ABS(D14)/66,1))</f>
        <v>0</v>
      </c>
      <c r="F14" s="122" t="str">
        <f>'Building Overview'!G24</f>
        <v>BUILDING OK - REDISTRIBUTE (0 tote surplus, 0 pallets)</v>
      </c>
    </row>
    <row r="15" spans="1:6" x14ac:dyDescent="0.25">
      <c r="A15" s="59"/>
      <c r="B15" s="59"/>
      <c r="C15" s="59"/>
      <c r="D15" s="59"/>
      <c r="E15" s="59"/>
      <c r="F15" s="59"/>
    </row>
    <row r="16" spans="1:6" ht="15.75" x14ac:dyDescent="0.25">
      <c r="A16" s="118" t="s">
        <v>270</v>
      </c>
      <c r="B16" s="59"/>
      <c r="C16" s="59"/>
      <c r="D16" s="59"/>
      <c r="E16" s="59"/>
      <c r="F16" s="59"/>
    </row>
    <row r="17" spans="1:6" x14ac:dyDescent="0.25">
      <c r="A17" s="120" t="s">
        <v>271</v>
      </c>
      <c r="B17" s="120" t="s">
        <v>272</v>
      </c>
      <c r="C17" s="120" t="s">
        <v>254</v>
      </c>
      <c r="D17" s="120" t="s">
        <v>273</v>
      </c>
      <c r="E17" s="125" t="s">
        <v>257</v>
      </c>
      <c r="F17" s="59"/>
    </row>
    <row r="18" spans="1:6" ht="30" x14ac:dyDescent="0.25">
      <c r="A18" s="123" t="s">
        <v>31</v>
      </c>
      <c r="B18" s="126">
        <f>'Building Overview'!C32</f>
        <v>0</v>
      </c>
      <c r="C18" s="126">
        <f>'Building Overview'!D32</f>
        <v>0</v>
      </c>
      <c r="D18" s="126">
        <f>'Building Overview'!E32</f>
        <v>0</v>
      </c>
      <c r="E18" s="127" t="str">
        <f>'Building Overview'!G32</f>
        <v>COVERED by 1st Floor</v>
      </c>
      <c r="F18" s="59"/>
    </row>
    <row r="19" spans="1:6" ht="30" x14ac:dyDescent="0.25">
      <c r="A19" s="123" t="s">
        <v>34</v>
      </c>
      <c r="B19" s="126">
        <f>'Building Overview'!C33</f>
        <v>0</v>
      </c>
      <c r="C19" s="126">
        <f>'Building Overview'!D33</f>
        <v>0</v>
      </c>
      <c r="D19" s="126">
        <f>'Building Overview'!E33</f>
        <v>0</v>
      </c>
      <c r="E19" s="127" t="str">
        <f>'Building Overview'!G33</f>
        <v>COVERED by 1st Floor</v>
      </c>
      <c r="F19" s="59"/>
    </row>
    <row r="20" spans="1:6" ht="30" x14ac:dyDescent="0.25">
      <c r="A20" s="128" t="s">
        <v>182</v>
      </c>
      <c r="B20" s="129">
        <f>SUM(B18:B19)</f>
        <v>0</v>
      </c>
      <c r="C20" s="129">
        <f>SUM(C18:C19)</f>
        <v>0</v>
      </c>
      <c r="D20" s="129">
        <f>SUM(D18:D19)</f>
        <v>0</v>
      </c>
      <c r="E20" s="122" t="str">
        <f>IF(D20&gt;=0,"All deficits covered","ADD "&amp;CEILING(ABS(D20)/66,1)&amp;" pallets from outside")</f>
        <v>All deficits covered</v>
      </c>
      <c r="F20" s="59"/>
    </row>
    <row r="21" spans="1:6" x14ac:dyDescent="0.25">
      <c r="A21" s="59"/>
      <c r="B21" s="59"/>
      <c r="C21" s="59"/>
      <c r="D21" s="59"/>
      <c r="E21" s="59"/>
      <c r="F21" s="59"/>
    </row>
    <row r="22" spans="1:6" ht="15.75" x14ac:dyDescent="0.25">
      <c r="A22" s="118" t="s">
        <v>274</v>
      </c>
      <c r="B22" s="59"/>
      <c r="C22" s="59"/>
      <c r="D22" s="59"/>
      <c r="E22" s="59"/>
      <c r="F22" s="59"/>
    </row>
    <row r="23" spans="1:6" x14ac:dyDescent="0.25">
      <c r="A23" s="120" t="s">
        <v>275</v>
      </c>
      <c r="B23" s="120" t="s">
        <v>276</v>
      </c>
      <c r="C23" s="59"/>
      <c r="D23" s="59"/>
      <c r="E23" s="59"/>
      <c r="F23" s="59"/>
    </row>
    <row r="24" spans="1:6" ht="45" x14ac:dyDescent="0.25">
      <c r="A24" s="130">
        <v>1</v>
      </c>
      <c r="B24" s="131" t="str">
        <f>IF('Building Overview'!C32&gt;0,"Move "&amp;'Building Overview'!D32&amp;" pallets ("&amp;'Building Overview'!C32&amp;" totes) from 1st Floor to 3rd Floor WEST","3rd Floor does not need 1st Floor totes")</f>
        <v>3rd Floor does not need 1st Floor totes</v>
      </c>
      <c r="C24" s="59"/>
      <c r="D24" s="59"/>
      <c r="E24" s="59"/>
      <c r="F24" s="59"/>
    </row>
    <row r="25" spans="1:6" ht="30" x14ac:dyDescent="0.25">
      <c r="A25" s="132">
        <v>2</v>
      </c>
      <c r="B25" s="127" t="str">
        <f>IF('Building Overview'!C33&gt;0,"Move "&amp;'Building Overview'!D33&amp;" pallets ("&amp;'Building Overview'!C33&amp;" totes) from 1st Floor to 4th Floor WEST","4th Floor does not need 1st Floor totes")</f>
        <v>4th Floor does not need 1st Floor totes</v>
      </c>
      <c r="C25" s="59"/>
      <c r="D25" s="59"/>
      <c r="E25" s="59"/>
      <c r="F25" s="59"/>
    </row>
    <row r="26" spans="1:6" ht="45" x14ac:dyDescent="0.25">
      <c r="A26" s="130">
        <v>3</v>
      </c>
      <c r="B26" s="131" t="str">
        <f>IF('Building Overview'!F10&gt;=0,"2nd Floor: Move totes from EAST/NORTH/SOUTH to WEST ("&amp;('Building Overview'!C6+'Building Overview'!C8+'Building Overview'!C9)&amp;" totes, "&amp;CEILING(('Building Overview'!C6+'Building Overview'!C8+'Building Overview'!C9)/66,1)&amp;" pallets available)","2nd Floor: Move all non-WEST totes to WEST + bring in more")</f>
        <v>2nd Floor: Move totes from EAST/NORTH/SOUTH to WEST (0 totes, 0 pallets available)</v>
      </c>
      <c r="C26" s="59"/>
      <c r="D26" s="59"/>
      <c r="E26" s="59"/>
      <c r="F26" s="59"/>
    </row>
    <row r="27" spans="1:6" ht="45" x14ac:dyDescent="0.25">
      <c r="A27" s="132">
        <v>4</v>
      </c>
      <c r="B27" s="127" t="str">
        <f>IF('Building Overview'!F23&gt;=0,"5th Floor: Move "&amp;CEILING(ABS('Building Overview'!F22)/66,1)&amp;" pallets from EAST to WEST ("&amp;ABS('Building Overview'!F22)&amp;" totes)","5th Floor: Move all EAST totes to WEST + bring in more")</f>
        <v>5th Floor: Move 0 pallets from EAST to WEST (0 totes)</v>
      </c>
      <c r="C27" s="59"/>
      <c r="D27" s="59"/>
      <c r="E27" s="59"/>
      <c r="F27" s="59"/>
    </row>
    <row r="28" spans="1:6" ht="75" x14ac:dyDescent="0.25">
      <c r="A28" s="130">
        <v>5</v>
      </c>
      <c r="B28" s="131" t="str">
        <f>IF(D20&lt;0,"Bring in "&amp;CEILING(ABS(D20)/66,1)&amp;" pallets from outside the building ("&amp;ABS(D20)&amp;" totes short after redistribution)","No outside pallets needed — redistribute only!")</f>
        <v>No outside pallets needed — redistribute only!</v>
      </c>
      <c r="C28" s="59"/>
      <c r="D28" s="59"/>
      <c r="E28" s="59"/>
      <c r="F28" s="59"/>
    </row>
    <row r="29" spans="1:6" x14ac:dyDescent="0.25">
      <c r="A29" s="59"/>
      <c r="B29" s="59"/>
      <c r="C29" s="59"/>
      <c r="D29" s="59"/>
      <c r="E29" s="59"/>
      <c r="F29" s="59"/>
    </row>
    <row r="30" spans="1:6" x14ac:dyDescent="0.25">
      <c r="A30" s="119" t="s">
        <v>235</v>
      </c>
      <c r="B30" s="59"/>
      <c r="C30" s="59"/>
      <c r="D30" s="59"/>
      <c r="E30" s="59"/>
      <c r="F30" s="59"/>
    </row>
  </sheetData>
  <conditionalFormatting sqref="B28">
    <cfRule type="expression" dxfId="23" priority="21">
      <formula>$D$20&gt;=0</formula>
    </cfRule>
    <cfRule type="expression" dxfId="22" priority="22">
      <formula>$D$20&lt;0</formula>
    </cfRule>
  </conditionalFormatting>
  <conditionalFormatting sqref="D18:E20">
    <cfRule type="expression" dxfId="21" priority="15">
      <formula>$D18&gt;=0</formula>
    </cfRule>
    <cfRule type="expression" dxfId="20" priority="16">
      <formula>$D18&lt;0</formula>
    </cfRule>
  </conditionalFormatting>
  <conditionalFormatting sqref="D9:F14">
    <cfRule type="expression" dxfId="19" priority="3">
      <formula>$D9&gt;=0</formula>
    </cfRule>
    <cfRule type="expression" dxfId="18" priority="4">
      <formula>$D9&lt;0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62ECA70-141D-4C27-A177-F15D5734FFA6}">
            <xm:f>'Demand Calculator'!B25&gt;=0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14:cfRule type="expression" priority="2" id="{743DE703-F14B-4465-8196-7E56C4B859E4}">
            <xm:f>'Demand Calculator'!B25&lt;0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F5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L21" sqref="L21"/>
    </sheetView>
  </sheetViews>
  <sheetFormatPr defaultRowHeight="15" x14ac:dyDescent="0.25"/>
  <cols>
    <col min="1" max="1" width="18.140625" customWidth="1"/>
    <col min="2" max="3" width="16.140625" customWidth="1"/>
    <col min="4" max="4" width="15.28515625" customWidth="1"/>
    <col min="5" max="5" width="18.140625" customWidth="1"/>
    <col min="6" max="6" width="17.140625" customWidth="1"/>
    <col min="7" max="7" width="47.5703125" customWidth="1"/>
    <col min="8" max="8" width="2.7109375" customWidth="1"/>
    <col min="9" max="9" width="13.28515625" customWidth="1"/>
    <col min="10" max="10" width="16.140625" customWidth="1"/>
    <col min="11" max="11" width="19" customWidth="1"/>
    <col min="12" max="12" width="22.85546875" customWidth="1"/>
    <col min="13" max="13" width="21" customWidth="1"/>
    <col min="14" max="14" width="36.7109375" customWidth="1"/>
  </cols>
  <sheetData>
    <row r="1" spans="1:13" ht="18.75" x14ac:dyDescent="0.25">
      <c r="A1" s="58" t="s">
        <v>41</v>
      </c>
      <c r="B1" s="59"/>
      <c r="C1" s="59"/>
      <c r="D1" s="59"/>
      <c r="E1" s="59"/>
      <c r="F1" s="59"/>
      <c r="G1" s="79"/>
      <c r="H1" s="59"/>
      <c r="I1" s="59"/>
      <c r="J1" s="59"/>
      <c r="K1" s="59"/>
      <c r="L1" s="79"/>
      <c r="M1" s="59"/>
    </row>
    <row r="2" spans="1:13" x14ac:dyDescent="0.25">
      <c r="A2" s="61" t="s">
        <v>42</v>
      </c>
      <c r="B2" s="59"/>
      <c r="C2" s="59"/>
      <c r="D2" s="59"/>
      <c r="E2" s="59"/>
      <c r="F2" s="59"/>
      <c r="G2" s="79"/>
      <c r="H2" s="59"/>
      <c r="I2" s="62" t="s">
        <v>248</v>
      </c>
      <c r="J2" s="59"/>
      <c r="K2" s="59"/>
      <c r="L2" s="79"/>
      <c r="M2" s="59"/>
    </row>
    <row r="3" spans="1:13" x14ac:dyDescent="0.25">
      <c r="A3" s="63" t="s">
        <v>2</v>
      </c>
      <c r="B3" s="63" t="s">
        <v>236</v>
      </c>
      <c r="C3" s="63" t="s">
        <v>237</v>
      </c>
      <c r="D3" s="63" t="s">
        <v>45</v>
      </c>
      <c r="E3" s="63" t="s">
        <v>47</v>
      </c>
      <c r="F3" s="63" t="s">
        <v>48</v>
      </c>
      <c r="G3" s="80" t="s">
        <v>49</v>
      </c>
      <c r="H3" s="59"/>
      <c r="I3" s="64" t="s">
        <v>56</v>
      </c>
      <c r="J3" s="64" t="s">
        <v>46</v>
      </c>
      <c r="K3" s="64" t="s">
        <v>245</v>
      </c>
      <c r="L3" s="92" t="s">
        <v>246</v>
      </c>
      <c r="M3" s="64" t="s">
        <v>247</v>
      </c>
    </row>
    <row r="4" spans="1:13" ht="30" x14ac:dyDescent="0.25">
      <c r="A4" s="65" t="s">
        <v>11</v>
      </c>
      <c r="B4" s="65" t="s">
        <v>238</v>
      </c>
      <c r="C4" s="94">
        <f>'Tote Count Entry'!E5+'Tote Count Entry'!F5+'Tote Count Entry'!G5+'Tote Count Entry'!H5</f>
        <v>0</v>
      </c>
      <c r="D4" s="94">
        <f>CEILING(C4/66,1)</f>
        <v>0</v>
      </c>
      <c r="E4" s="95">
        <v>0</v>
      </c>
      <c r="F4" s="94">
        <f>C4-E4</f>
        <v>0</v>
      </c>
      <c r="G4" s="81" t="str">
        <f>IF(F4&gt;0,"REMOVE "&amp;CEILING(F4/66,1)&amp;" pallets — Send "&amp;C32&amp;" to 3rd Flr ("&amp;D32&amp;" pallets) + "&amp;C33&amp;" to 4th Flr ("&amp;D33&amp;" pallets)","ON TARGET")</f>
        <v>ON TARGET</v>
      </c>
      <c r="H4" s="59"/>
      <c r="I4" s="95" t="s">
        <v>212</v>
      </c>
      <c r="J4" s="95" t="s">
        <v>212</v>
      </c>
      <c r="K4" s="95" t="s">
        <v>212</v>
      </c>
      <c r="L4" s="81" t="s">
        <v>212</v>
      </c>
      <c r="M4" s="95" t="s">
        <v>212</v>
      </c>
    </row>
    <row r="5" spans="1:13" x14ac:dyDescent="0.25">
      <c r="A5" s="59"/>
      <c r="B5" s="59"/>
      <c r="C5" s="96"/>
      <c r="D5" s="96"/>
      <c r="E5" s="96"/>
      <c r="F5" s="96"/>
      <c r="G5" s="79"/>
      <c r="H5" s="59"/>
      <c r="I5" s="96"/>
      <c r="J5" s="96"/>
      <c r="K5" s="96"/>
      <c r="L5" s="79"/>
      <c r="M5" s="96"/>
    </row>
    <row r="6" spans="1:13" ht="30" x14ac:dyDescent="0.25">
      <c r="A6" s="66" t="s">
        <v>25</v>
      </c>
      <c r="B6" s="67" t="s">
        <v>43</v>
      </c>
      <c r="C6" s="97">
        <f>'Tote Count Entry'!E6</f>
        <v>0</v>
      </c>
      <c r="D6" s="97">
        <f t="shared" ref="D6:D24" si="0">CEILING(C6/66,1)</f>
        <v>0</v>
      </c>
      <c r="E6" s="97">
        <v>0</v>
      </c>
      <c r="F6" s="97">
        <f>C6-E6</f>
        <v>0</v>
      </c>
      <c r="G6" s="82" t="str">
        <f>IF(F6&gt;0,CONCATENATE(F6," totes available (",CEILING(F6/66,1)," pallets)"),"—")</f>
        <v>—</v>
      </c>
      <c r="H6" s="59"/>
      <c r="I6" s="99">
        <v>0</v>
      </c>
      <c r="J6" s="99" t="s">
        <v>239</v>
      </c>
      <c r="K6" s="99" t="s">
        <v>239</v>
      </c>
      <c r="L6" s="82" t="str">
        <f>IF(C6&gt;0,CONCATENATE(C6," totes available (",CEILING(C6/66,1)," pallets)"),"—")</f>
        <v>—</v>
      </c>
      <c r="M6" s="99" t="str">
        <f>IF('Demand Calculator'!D35=0,"—",ROUND(C6/'Demand Calculator'!D35,1)&amp;" hrs")</f>
        <v>—</v>
      </c>
    </row>
    <row r="7" spans="1:13" x14ac:dyDescent="0.25">
      <c r="A7" s="67"/>
      <c r="B7" s="66" t="s">
        <v>95</v>
      </c>
      <c r="C7" s="98">
        <f>'Tote Count Entry'!F6</f>
        <v>0</v>
      </c>
      <c r="D7" s="98">
        <f t="shared" si="0"/>
        <v>0</v>
      </c>
      <c r="E7" s="98">
        <f>'Demand Calculator'!E35</f>
        <v>0</v>
      </c>
      <c r="F7" s="98">
        <f>C7-E7</f>
        <v>0</v>
      </c>
      <c r="G7" s="83" t="str">
        <f>IF(F7&gt;0,CONCATENATE("REMOVE ",CEILING(F7/66,1)," pallets"),IF(F7&lt;0,CONCATENATE("ADD ",CEILING(ABS(F7)/66,1)," pallets"),"ON TARGET"))</f>
        <v>ON TARGET</v>
      </c>
      <c r="H7" s="59"/>
      <c r="I7" s="98">
        <f>'Demand Calculator'!D35</f>
        <v>0</v>
      </c>
      <c r="J7" s="107" t="str">
        <f>IF(I7=0,"—",ROUND(C7/I7,1))</f>
        <v>—</v>
      </c>
      <c r="K7" s="98">
        <f>C7-I7</f>
        <v>0</v>
      </c>
      <c r="L7" s="83" t="str">
        <f>IF(K7&gt;0,CONCATENATE("REMOVE ",CEILING(K7/66,1)," pallets"),IF(K7&lt;0,CONCATENATE("ADD ",CEILING(ABS(K7)/66,1)," pallets"),"ON TARGET"))</f>
        <v>ON TARGET</v>
      </c>
      <c r="M7" s="107" t="s">
        <v>239</v>
      </c>
    </row>
    <row r="8" spans="1:13" x14ac:dyDescent="0.25">
      <c r="A8" s="67"/>
      <c r="B8" s="67" t="s">
        <v>96</v>
      </c>
      <c r="C8" s="97">
        <f>'Tote Count Entry'!G6</f>
        <v>0</v>
      </c>
      <c r="D8" s="97">
        <f t="shared" si="0"/>
        <v>0</v>
      </c>
      <c r="E8" s="99" t="s">
        <v>239</v>
      </c>
      <c r="F8" s="99" t="s">
        <v>239</v>
      </c>
      <c r="G8" s="82" t="s">
        <v>239</v>
      </c>
      <c r="H8" s="59"/>
      <c r="I8" s="99" t="s">
        <v>239</v>
      </c>
      <c r="J8" s="99" t="s">
        <v>239</v>
      </c>
      <c r="K8" s="99" t="s">
        <v>239</v>
      </c>
      <c r="L8" s="82" t="s">
        <v>239</v>
      </c>
      <c r="M8" s="99" t="s">
        <v>239</v>
      </c>
    </row>
    <row r="9" spans="1:13" x14ac:dyDescent="0.25">
      <c r="A9" s="67"/>
      <c r="B9" s="67" t="s">
        <v>97</v>
      </c>
      <c r="C9" s="97">
        <f>'Tote Count Entry'!H6</f>
        <v>0</v>
      </c>
      <c r="D9" s="97">
        <f t="shared" si="0"/>
        <v>0</v>
      </c>
      <c r="E9" s="99" t="s">
        <v>239</v>
      </c>
      <c r="F9" s="99" t="s">
        <v>239</v>
      </c>
      <c r="G9" s="82" t="s">
        <v>239</v>
      </c>
      <c r="H9" s="59"/>
      <c r="I9" s="99" t="s">
        <v>239</v>
      </c>
      <c r="J9" s="99" t="s">
        <v>239</v>
      </c>
      <c r="K9" s="99" t="s">
        <v>239</v>
      </c>
      <c r="L9" s="82" t="s">
        <v>239</v>
      </c>
      <c r="M9" s="99" t="s">
        <v>239</v>
      </c>
    </row>
    <row r="10" spans="1:13" x14ac:dyDescent="0.25">
      <c r="A10" s="59"/>
      <c r="B10" s="68" t="s">
        <v>249</v>
      </c>
      <c r="C10" s="100">
        <f>SUM(C6:C9)</f>
        <v>0</v>
      </c>
      <c r="D10" s="101">
        <f t="shared" si="0"/>
        <v>0</v>
      </c>
      <c r="E10" s="100">
        <f>E7</f>
        <v>0</v>
      </c>
      <c r="F10" s="100">
        <f>C10-E10</f>
        <v>0</v>
      </c>
      <c r="G10" s="84" t="str">
        <f>IF(F10&gt;=0,"REDISTRIBUTE "&amp;(C6+C8+C9)&amp;" totes to WEST ("&amp;CEILING((C6+C8+C9)/66,1)&amp;" pallets avail)","MOVE all "&amp;(C6+C8+C9)&amp;" to WEST + ADD "&amp;CEILING(ABS(F10+(C6+C8+C9))/66,1)&amp;" pallets")</f>
        <v>REDISTRIBUTE 0 totes to WEST (0 pallets avail)</v>
      </c>
      <c r="H10" s="59"/>
      <c r="I10" s="96"/>
      <c r="J10" s="96"/>
      <c r="K10" s="96"/>
      <c r="L10" s="79"/>
      <c r="M10" s="96"/>
    </row>
    <row r="11" spans="1:13" ht="30" x14ac:dyDescent="0.25">
      <c r="A11" s="69" t="s">
        <v>31</v>
      </c>
      <c r="B11" s="70" t="s">
        <v>43</v>
      </c>
      <c r="C11" s="102">
        <f>'Tote Count Entry'!E7</f>
        <v>0</v>
      </c>
      <c r="D11" s="102">
        <f t="shared" si="0"/>
        <v>0</v>
      </c>
      <c r="E11" s="102">
        <v>0</v>
      </c>
      <c r="F11" s="102">
        <f>C11-E11</f>
        <v>0</v>
      </c>
      <c r="G11" s="85" t="str">
        <f>IF(F11&gt;0,CONCATENATE(F11," totes available (",CEILING(F11/66,1)," pallets)"),"—")</f>
        <v>—</v>
      </c>
      <c r="H11" s="59"/>
      <c r="I11" s="104">
        <v>0</v>
      </c>
      <c r="J11" s="104" t="s">
        <v>239</v>
      </c>
      <c r="K11" s="104" t="s">
        <v>239</v>
      </c>
      <c r="L11" s="85" t="str">
        <f>IF(C11&gt;0,CONCATENATE(C11," totes available (",CEILING(C11/66,1)," pallets)"),"—")</f>
        <v>—</v>
      </c>
      <c r="M11" s="104" t="str">
        <f>IF('Demand Calculator'!D36=0,"—",ROUND(C11/'Demand Calculator'!D36,1)&amp;" hrs")</f>
        <v>—</v>
      </c>
    </row>
    <row r="12" spans="1:13" x14ac:dyDescent="0.25">
      <c r="A12" s="70"/>
      <c r="B12" s="69" t="s">
        <v>95</v>
      </c>
      <c r="C12" s="103">
        <f>'Tote Count Entry'!F7</f>
        <v>0</v>
      </c>
      <c r="D12" s="103">
        <f t="shared" si="0"/>
        <v>0</v>
      </c>
      <c r="E12" s="103">
        <f>'Demand Calculator'!E36</f>
        <v>0</v>
      </c>
      <c r="F12" s="103">
        <f>C12-E12</f>
        <v>0</v>
      </c>
      <c r="G12" s="86" t="str">
        <f>IF(F12&gt;0,CONCATENATE("REMOVE ",CEILING(F12/66,1)," pallets"),IF(F12&lt;0,CONCATENATE("ADD ",CEILING(ABS(F12)/66,1)," pallets"),"ON TARGET"))</f>
        <v>ON TARGET</v>
      </c>
      <c r="H12" s="59"/>
      <c r="I12" s="103">
        <f>'Demand Calculator'!D36</f>
        <v>0</v>
      </c>
      <c r="J12" s="108" t="str">
        <f>IF(I12=0,"—",ROUND(C12/I12,1))</f>
        <v>—</v>
      </c>
      <c r="K12" s="103">
        <f>C12-I12</f>
        <v>0</v>
      </c>
      <c r="L12" s="86" t="str">
        <f>IF(K12&gt;0,CONCATENATE("REMOVE ",CEILING(K12/66,1)," pallets"),IF(K12&lt;0,CONCATENATE("ADD ",CEILING(ABS(K12)/66,1)," pallets"),"ON TARGET"))</f>
        <v>ON TARGET</v>
      </c>
      <c r="M12" s="108" t="s">
        <v>239</v>
      </c>
    </row>
    <row r="13" spans="1:13" x14ac:dyDescent="0.25">
      <c r="A13" s="70"/>
      <c r="B13" s="70" t="s">
        <v>96</v>
      </c>
      <c r="C13" s="102">
        <f>'Tote Count Entry'!G7</f>
        <v>0</v>
      </c>
      <c r="D13" s="102">
        <f t="shared" si="0"/>
        <v>0</v>
      </c>
      <c r="E13" s="104" t="s">
        <v>239</v>
      </c>
      <c r="F13" s="104" t="s">
        <v>239</v>
      </c>
      <c r="G13" s="85" t="s">
        <v>239</v>
      </c>
      <c r="H13" s="59"/>
      <c r="I13" s="104" t="s">
        <v>239</v>
      </c>
      <c r="J13" s="104" t="s">
        <v>239</v>
      </c>
      <c r="K13" s="104" t="s">
        <v>239</v>
      </c>
      <c r="L13" s="85" t="s">
        <v>239</v>
      </c>
      <c r="M13" s="104" t="s">
        <v>239</v>
      </c>
    </row>
    <row r="14" spans="1:13" x14ac:dyDescent="0.25">
      <c r="A14" s="70"/>
      <c r="B14" s="70" t="s">
        <v>97</v>
      </c>
      <c r="C14" s="102">
        <f>'Tote Count Entry'!H7</f>
        <v>0</v>
      </c>
      <c r="D14" s="102">
        <f t="shared" si="0"/>
        <v>0</v>
      </c>
      <c r="E14" s="104" t="s">
        <v>239</v>
      </c>
      <c r="F14" s="104" t="s">
        <v>239</v>
      </c>
      <c r="G14" s="85" t="s">
        <v>239</v>
      </c>
      <c r="H14" s="59"/>
      <c r="I14" s="104" t="s">
        <v>239</v>
      </c>
      <c r="J14" s="104" t="s">
        <v>239</v>
      </c>
      <c r="K14" s="104" t="s">
        <v>239</v>
      </c>
      <c r="L14" s="85" t="s">
        <v>239</v>
      </c>
      <c r="M14" s="104" t="s">
        <v>239</v>
      </c>
    </row>
    <row r="15" spans="1:13" x14ac:dyDescent="0.25">
      <c r="A15" s="59"/>
      <c r="B15" s="68" t="s">
        <v>249</v>
      </c>
      <c r="C15" s="100">
        <f>SUM(C11:C14)</f>
        <v>0</v>
      </c>
      <c r="D15" s="101">
        <f t="shared" si="0"/>
        <v>0</v>
      </c>
      <c r="E15" s="100">
        <f>E12</f>
        <v>0</v>
      </c>
      <c r="F15" s="100">
        <f>C15-E15</f>
        <v>0</v>
      </c>
      <c r="G15" s="84" t="str">
        <f>IF(F15&gt;=0,"REDISTRIBUTE "&amp;(C11+C13+C14)&amp;" totes to WEST ("&amp;CEILING((C11+C13+C14)/66,1)&amp;" pallets avail)","MOVE all "&amp;(C11+C13+C14)&amp;" to WEST + ADD "&amp;CEILING(ABS(F15+(C11+C13+C14))/66,1)&amp;" pallets")</f>
        <v>REDISTRIBUTE 0 totes to WEST (0 pallets avail)</v>
      </c>
      <c r="H15" s="59"/>
      <c r="I15" s="96"/>
      <c r="J15" s="96"/>
      <c r="K15" s="96"/>
      <c r="L15" s="79"/>
      <c r="M15" s="96"/>
    </row>
    <row r="16" spans="1:13" ht="30" x14ac:dyDescent="0.25">
      <c r="A16" s="66" t="s">
        <v>34</v>
      </c>
      <c r="B16" s="67" t="s">
        <v>43</v>
      </c>
      <c r="C16" s="97">
        <f>'Tote Count Entry'!E8</f>
        <v>0</v>
      </c>
      <c r="D16" s="97">
        <f t="shared" si="0"/>
        <v>0</v>
      </c>
      <c r="E16" s="97">
        <v>0</v>
      </c>
      <c r="F16" s="97">
        <f>C16-E16</f>
        <v>0</v>
      </c>
      <c r="G16" s="82" t="str">
        <f>IF(F16&gt;0,CONCATENATE(F16," totes available (",CEILING(F16/66,1)," pallets)"),"—")</f>
        <v>—</v>
      </c>
      <c r="H16" s="59"/>
      <c r="I16" s="99">
        <v>0</v>
      </c>
      <c r="J16" s="99" t="s">
        <v>239</v>
      </c>
      <c r="K16" s="99" t="s">
        <v>239</v>
      </c>
      <c r="L16" s="82" t="str">
        <f>IF(C16&gt;0,CONCATENATE(C16," totes available (",CEILING(C16/66,1)," pallets)"),"—")</f>
        <v>—</v>
      </c>
      <c r="M16" s="99" t="str">
        <f>IF('Demand Calculator'!D37=0,"—",ROUND(C16/'Demand Calculator'!D37,1)&amp;" hrs")</f>
        <v>—</v>
      </c>
    </row>
    <row r="17" spans="1:13" x14ac:dyDescent="0.25">
      <c r="A17" s="67"/>
      <c r="B17" s="66" t="s">
        <v>95</v>
      </c>
      <c r="C17" s="98">
        <f>'Tote Count Entry'!F8</f>
        <v>0</v>
      </c>
      <c r="D17" s="98">
        <f t="shared" si="0"/>
        <v>0</v>
      </c>
      <c r="E17" s="98">
        <f>'Demand Calculator'!E37</f>
        <v>0</v>
      </c>
      <c r="F17" s="98">
        <f>C17-E17</f>
        <v>0</v>
      </c>
      <c r="G17" s="83" t="str">
        <f>IF(F17&gt;0,CONCATENATE("REMOVE ",CEILING(F17/66,1)," pallets"),IF(F17&lt;0,CONCATENATE("ADD ",CEILING(ABS(F17)/66,1)," pallets"),"ON TARGET"))</f>
        <v>ON TARGET</v>
      </c>
      <c r="H17" s="59"/>
      <c r="I17" s="98">
        <f>'Demand Calculator'!D37</f>
        <v>0</v>
      </c>
      <c r="J17" s="107" t="str">
        <f>IF(I17=0,"—",ROUND(C17/I17,1))</f>
        <v>—</v>
      </c>
      <c r="K17" s="98">
        <f>C17-I17</f>
        <v>0</v>
      </c>
      <c r="L17" s="83" t="str">
        <f>IF(K17&gt;0,CONCATENATE("REMOVE ",CEILING(K17/66,1)," pallets"),IF(K17&lt;0,CONCATENATE("ADD ",CEILING(ABS(K17)/66,1)," pallets"),"ON TARGET"))</f>
        <v>ON TARGET</v>
      </c>
      <c r="M17" s="107" t="s">
        <v>239</v>
      </c>
    </row>
    <row r="18" spans="1:13" x14ac:dyDescent="0.25">
      <c r="A18" s="67"/>
      <c r="B18" s="67" t="s">
        <v>96</v>
      </c>
      <c r="C18" s="97">
        <f>'Tote Count Entry'!G8</f>
        <v>0</v>
      </c>
      <c r="D18" s="97">
        <f t="shared" si="0"/>
        <v>0</v>
      </c>
      <c r="E18" s="99" t="s">
        <v>239</v>
      </c>
      <c r="F18" s="99" t="s">
        <v>239</v>
      </c>
      <c r="G18" s="82" t="s">
        <v>239</v>
      </c>
      <c r="H18" s="59"/>
      <c r="I18" s="99" t="s">
        <v>239</v>
      </c>
      <c r="J18" s="99" t="s">
        <v>239</v>
      </c>
      <c r="K18" s="99" t="s">
        <v>239</v>
      </c>
      <c r="L18" s="82" t="s">
        <v>239</v>
      </c>
      <c r="M18" s="99" t="s">
        <v>239</v>
      </c>
    </row>
    <row r="19" spans="1:13" x14ac:dyDescent="0.25">
      <c r="A19" s="67"/>
      <c r="B19" s="67" t="s">
        <v>97</v>
      </c>
      <c r="C19" s="97">
        <f>'Tote Count Entry'!H8</f>
        <v>0</v>
      </c>
      <c r="D19" s="97">
        <f t="shared" si="0"/>
        <v>0</v>
      </c>
      <c r="E19" s="99" t="s">
        <v>239</v>
      </c>
      <c r="F19" s="99" t="s">
        <v>239</v>
      </c>
      <c r="G19" s="82" t="s">
        <v>239</v>
      </c>
      <c r="H19" s="59"/>
      <c r="I19" s="99" t="s">
        <v>239</v>
      </c>
      <c r="J19" s="99" t="s">
        <v>239</v>
      </c>
      <c r="K19" s="99" t="s">
        <v>239</v>
      </c>
      <c r="L19" s="82" t="s">
        <v>239</v>
      </c>
      <c r="M19" s="99" t="s">
        <v>239</v>
      </c>
    </row>
    <row r="20" spans="1:13" x14ac:dyDescent="0.25">
      <c r="A20" s="59"/>
      <c r="B20" s="68" t="s">
        <v>249</v>
      </c>
      <c r="C20" s="100">
        <f>SUM(C16:C19)</f>
        <v>0</v>
      </c>
      <c r="D20" s="101">
        <f t="shared" si="0"/>
        <v>0</v>
      </c>
      <c r="E20" s="100">
        <f>E17</f>
        <v>0</v>
      </c>
      <c r="F20" s="100">
        <f>C20-E20</f>
        <v>0</v>
      </c>
      <c r="G20" s="84" t="str">
        <f>IF(F20&gt;=0,"REDISTRIBUTE "&amp;(C16+C18+C19)&amp;" totes to WEST ("&amp;CEILING((C16+C18+C19)/66,1)&amp;" pallets avail)","MOVE all "&amp;(C16+C18+C19)&amp;" to WEST + ADD "&amp;CEILING(ABS(F20+(C16+C18+C19))/66,1)&amp;" pallets")</f>
        <v>REDISTRIBUTE 0 totes to WEST (0 pallets avail)</v>
      </c>
      <c r="H20" s="59"/>
      <c r="I20" s="96"/>
      <c r="J20" s="96"/>
      <c r="K20" s="96"/>
      <c r="L20" s="79"/>
      <c r="M20" s="96"/>
    </row>
    <row r="21" spans="1:13" x14ac:dyDescent="0.25">
      <c r="A21" s="69" t="s">
        <v>37</v>
      </c>
      <c r="B21" s="69" t="s">
        <v>43</v>
      </c>
      <c r="C21" s="103">
        <f>'Tote Count Entry'!E9</f>
        <v>0</v>
      </c>
      <c r="D21" s="103">
        <f t="shared" si="0"/>
        <v>0</v>
      </c>
      <c r="E21" s="103">
        <f>'Demand Calculator'!E38</f>
        <v>0</v>
      </c>
      <c r="F21" s="103">
        <f>C21-E21</f>
        <v>0</v>
      </c>
      <c r="G21" s="86" t="str">
        <f>IF(F21&gt;0,CONCATENATE("REMOVE ",CEILING(F21/66,1)," pallets"),IF(F21&lt;0,CONCATENATE("ADD ",CEILING(ABS(F21)/66,1)," pallets"),"ON TARGET"))</f>
        <v>ON TARGET</v>
      </c>
      <c r="H21" s="59"/>
      <c r="I21" s="103">
        <f>'Demand Calculator'!D38</f>
        <v>0</v>
      </c>
      <c r="J21" s="108" t="str">
        <f>IF(I21=0,"—",ROUND(C21/I21,1))</f>
        <v>—</v>
      </c>
      <c r="K21" s="103">
        <f>C21-I21</f>
        <v>0</v>
      </c>
      <c r="L21" s="86" t="str">
        <f>IF(K21&gt;0,CONCATENATE("REMOVE ",CEILING(K21/66,1)," pallets"),IF(K21&lt;0,CONCATENATE("ADD ",CEILING(ABS(K21)/66,1)," pallets"),"ON TARGET"))</f>
        <v>ON TARGET</v>
      </c>
      <c r="M21" s="108" t="str">
        <f>IF('Demand Calculator'!D39=0,"—",ROUND(C21/'Demand Calculator'!D39,1)&amp;" hrs")</f>
        <v>—</v>
      </c>
    </row>
    <row r="22" spans="1:13" x14ac:dyDescent="0.25">
      <c r="A22" s="70"/>
      <c r="B22" s="69" t="s">
        <v>95</v>
      </c>
      <c r="C22" s="103">
        <f>'Tote Count Entry'!F9</f>
        <v>0</v>
      </c>
      <c r="D22" s="103">
        <f t="shared" si="0"/>
        <v>0</v>
      </c>
      <c r="E22" s="103">
        <f>'Demand Calculator'!E39</f>
        <v>0</v>
      </c>
      <c r="F22" s="103">
        <f>C22-E22</f>
        <v>0</v>
      </c>
      <c r="G22" s="86" t="str">
        <f>IF(F22&gt;0,CONCATENATE("REMOVE ",CEILING(F22/66,1)," pallets"),IF(F22&lt;0,CONCATENATE("ADD ",CEILING(ABS(F22)/66,1)," pallets"),"ON TARGET"))</f>
        <v>ON TARGET</v>
      </c>
      <c r="H22" s="59"/>
      <c r="I22" s="103">
        <f>'Demand Calculator'!D39</f>
        <v>0</v>
      </c>
      <c r="J22" s="108" t="str">
        <f>IF(I22=0,"—",ROUND(C22/I22,1))</f>
        <v>—</v>
      </c>
      <c r="K22" s="103">
        <f>C22-I22</f>
        <v>0</v>
      </c>
      <c r="L22" s="86" t="str">
        <f>IF(K22&gt;0,CONCATENATE("REMOVE ",CEILING(K22/66,1)," pallets"),IF(K22&lt;0,CONCATENATE("ADD ",CEILING(ABS(K22)/66,1)," pallets"),"ON TARGET"))</f>
        <v>ON TARGET</v>
      </c>
      <c r="M22" s="108" t="s">
        <v>239</v>
      </c>
    </row>
    <row r="23" spans="1:13" ht="26.25" thickBot="1" x14ac:dyDescent="0.3">
      <c r="A23" s="59"/>
      <c r="B23" s="68" t="s">
        <v>249</v>
      </c>
      <c r="C23" s="100">
        <f>SUM(C21:C22)</f>
        <v>0</v>
      </c>
      <c r="D23" s="101">
        <f t="shared" si="0"/>
        <v>0</v>
      </c>
      <c r="E23" s="105">
        <f>E21+E22</f>
        <v>0</v>
      </c>
      <c r="F23" s="105">
        <f>C23-E23</f>
        <v>0</v>
      </c>
      <c r="G23" s="84" t="str">
        <f>IF(F23&gt;=0,"REDISTRIBUTE within floor - "&amp;F23&amp;" tote surplus ("&amp;CEILING(F23/66,1)&amp;" pallets)","ADD "&amp;CEILING(ABS(F23)/66,1)&amp;" pallets to 5th floor")</f>
        <v>REDISTRIBUTE within floor - 0 tote surplus (0 pallets)</v>
      </c>
      <c r="H23" s="59"/>
      <c r="I23" s="96"/>
      <c r="J23" s="96"/>
      <c r="K23" s="96"/>
      <c r="L23" s="79"/>
      <c r="M23" s="96"/>
    </row>
    <row r="24" spans="1:13" ht="30.75" thickBot="1" x14ac:dyDescent="0.3">
      <c r="A24" s="71" t="s">
        <v>50</v>
      </c>
      <c r="B24" s="72"/>
      <c r="C24" s="106">
        <f>C4+C6+C7+C8+C9+C11+C12+C13+C14+C16+C17+C18+C19+C21+C22</f>
        <v>0</v>
      </c>
      <c r="D24" s="106">
        <f t="shared" si="0"/>
        <v>0</v>
      </c>
      <c r="E24" s="106">
        <f>E7+E12+E17+E21+E22</f>
        <v>0</v>
      </c>
      <c r="F24" s="106">
        <f>C24-E24</f>
        <v>0</v>
      </c>
      <c r="G24" s="87" t="str">
        <f>IF(F24&gt;=0,"BUILDING OK - REDISTRIBUTE ("&amp;F24&amp;" tote surplus, "&amp;CEILING(F24/66,1)&amp;" pallets)","ADD "&amp;CEILING(ABS(F24)/66,1)&amp;" pallets to building + REDISTRIBUTE")</f>
        <v>BUILDING OK - REDISTRIBUTE (0 tote surplus, 0 pallets)</v>
      </c>
      <c r="H24" s="59"/>
      <c r="I24" s="109">
        <f>I7+I12+I17+I21+I22</f>
        <v>0</v>
      </c>
      <c r="J24" s="110"/>
      <c r="K24" s="106">
        <f>K7+K12+K17+K21+K22</f>
        <v>0</v>
      </c>
      <c r="L24" s="93"/>
      <c r="M24" s="111"/>
    </row>
    <row r="25" spans="1:13" x14ac:dyDescent="0.25">
      <c r="A25" s="59"/>
      <c r="B25" s="59"/>
      <c r="C25" s="59"/>
      <c r="D25" s="59"/>
      <c r="E25" s="59"/>
      <c r="F25" s="59"/>
      <c r="G25" s="79"/>
      <c r="H25" s="59"/>
      <c r="I25" s="59"/>
      <c r="J25" s="59"/>
      <c r="K25" s="59"/>
      <c r="L25" s="59"/>
      <c r="M25" s="59"/>
    </row>
    <row r="26" spans="1:13" x14ac:dyDescent="0.25">
      <c r="A26" s="59"/>
      <c r="B26" s="59"/>
      <c r="C26" s="59"/>
      <c r="D26" s="59"/>
      <c r="E26" s="59"/>
      <c r="F26" s="59"/>
      <c r="G26" s="79"/>
      <c r="H26" s="59"/>
      <c r="I26" s="59"/>
      <c r="J26" s="59"/>
      <c r="K26" s="59"/>
      <c r="L26" s="59"/>
      <c r="M26" s="59"/>
    </row>
    <row r="27" spans="1:13" x14ac:dyDescent="0.25">
      <c r="A27" s="59"/>
      <c r="B27" s="59"/>
      <c r="C27" s="59"/>
      <c r="D27" s="59"/>
      <c r="E27" s="59"/>
      <c r="F27" s="59"/>
      <c r="G27" s="79"/>
      <c r="H27" s="59"/>
      <c r="I27" s="59"/>
      <c r="J27" s="59"/>
      <c r="K27" s="59"/>
      <c r="L27" s="59"/>
      <c r="M27" s="59"/>
    </row>
    <row r="28" spans="1:13" x14ac:dyDescent="0.25">
      <c r="A28" s="137" t="s">
        <v>250</v>
      </c>
      <c r="B28" s="138"/>
      <c r="C28" s="138"/>
      <c r="D28" s="138"/>
      <c r="E28" s="138"/>
      <c r="F28" s="138"/>
      <c r="G28" s="139"/>
      <c r="H28" s="59"/>
      <c r="I28" s="59"/>
      <c r="J28" s="59"/>
      <c r="K28" s="59"/>
      <c r="L28" s="59"/>
      <c r="M28" s="59"/>
    </row>
    <row r="29" spans="1:13" ht="75" x14ac:dyDescent="0.25">
      <c r="A29" s="73" t="s">
        <v>251</v>
      </c>
      <c r="B29" s="60"/>
      <c r="C29" s="60"/>
      <c r="D29" s="60"/>
      <c r="E29" s="60"/>
      <c r="F29" s="60"/>
      <c r="G29" s="79"/>
      <c r="H29" s="59"/>
      <c r="I29" s="59"/>
      <c r="J29" s="59"/>
      <c r="K29" s="59"/>
      <c r="L29" s="59"/>
      <c r="M29" s="59"/>
    </row>
    <row r="30" spans="1:13" x14ac:dyDescent="0.25">
      <c r="A30" s="60"/>
      <c r="B30" s="60"/>
      <c r="C30" s="60"/>
      <c r="D30" s="60"/>
      <c r="E30" s="60"/>
      <c r="F30" s="60"/>
      <c r="G30" s="79"/>
      <c r="H30" s="59"/>
      <c r="I30" s="59"/>
      <c r="J30" s="59"/>
      <c r="K30" s="59"/>
      <c r="L30" s="59"/>
      <c r="M30" s="59"/>
    </row>
    <row r="31" spans="1:13" ht="30" x14ac:dyDescent="0.25">
      <c r="A31" s="74" t="s">
        <v>2</v>
      </c>
      <c r="B31" s="74" t="s">
        <v>252</v>
      </c>
      <c r="C31" s="74" t="s">
        <v>253</v>
      </c>
      <c r="D31" s="74" t="s">
        <v>254</v>
      </c>
      <c r="E31" s="74" t="s">
        <v>255</v>
      </c>
      <c r="F31" s="74" t="s">
        <v>256</v>
      </c>
      <c r="G31" s="88" t="s">
        <v>257</v>
      </c>
      <c r="H31" s="59"/>
      <c r="I31" s="59"/>
      <c r="J31" s="59"/>
      <c r="K31" s="59"/>
      <c r="L31" s="59"/>
      <c r="M31" s="59"/>
    </row>
    <row r="32" spans="1:13" x14ac:dyDescent="0.25">
      <c r="A32" s="75" t="s">
        <v>31</v>
      </c>
      <c r="B32" s="112">
        <f>F15</f>
        <v>0</v>
      </c>
      <c r="C32" s="112">
        <f>IF(F15&gt;=0,0,IF(F15+F20&gt;=0,0,ROUND(C4*ABS(F15)/(ABS(IF(F15&lt;0,F15,0))+ABS(IF(F20&lt;0,F20,0))),0)))</f>
        <v>0</v>
      </c>
      <c r="D32" s="112">
        <f>IF(C32=0,0,CEILING(C32/66,1))</f>
        <v>0</v>
      </c>
      <c r="E32" s="112">
        <f>B32+C32</f>
        <v>0</v>
      </c>
      <c r="F32" s="112">
        <f>IF(E32&lt;0,CEILING(ABS(E32)/66,1),0)</f>
        <v>0</v>
      </c>
      <c r="G32" s="89" t="str">
        <f>IF(E32&gt;=0,"COVERED by 1st Floor","ADD "&amp;F32&amp;" more pallets from outside")</f>
        <v>COVERED by 1st Floor</v>
      </c>
      <c r="H32" s="59"/>
      <c r="I32" s="59"/>
      <c r="J32" s="59"/>
      <c r="K32" s="59"/>
      <c r="L32" s="59"/>
      <c r="M32" s="59"/>
    </row>
    <row r="33" spans="1:13" x14ac:dyDescent="0.25">
      <c r="A33" s="76" t="s">
        <v>34</v>
      </c>
      <c r="B33" s="113">
        <f>F20</f>
        <v>0</v>
      </c>
      <c r="C33" s="113">
        <f>IF(F20&gt;=0,0,IF(F15+F20&gt;=0,0,ROUND(C4*ABS(F20)/(ABS(IF(F15&lt;0,F15,0))+ABS(IF(F20&lt;0,F20,0))),0)))</f>
        <v>0</v>
      </c>
      <c r="D33" s="113">
        <f>IF(C33=0,0,CEILING(C33/66,1))</f>
        <v>0</v>
      </c>
      <c r="E33" s="113">
        <f>B33+C33</f>
        <v>0</v>
      </c>
      <c r="F33" s="113">
        <f>IF(E33&lt;0,CEILING(ABS(E33)/66,1),0)</f>
        <v>0</v>
      </c>
      <c r="G33" s="90" t="str">
        <f>IF(E33&gt;=0,"COVERED by 1st Floor","ADD "&amp;F33&amp;" more pallets from outside")</f>
        <v>COVERED by 1st Floor</v>
      </c>
      <c r="H33" s="59"/>
      <c r="I33" s="59"/>
      <c r="J33" s="59"/>
      <c r="K33" s="59"/>
      <c r="L33" s="59"/>
      <c r="M33" s="59"/>
    </row>
    <row r="34" spans="1:13" x14ac:dyDescent="0.25">
      <c r="A34" s="60"/>
      <c r="B34" s="60"/>
      <c r="C34" s="60"/>
      <c r="D34" s="60"/>
      <c r="E34" s="60"/>
      <c r="F34" s="60"/>
      <c r="G34" s="79"/>
      <c r="H34" s="59"/>
      <c r="I34" s="59"/>
      <c r="J34" s="59"/>
      <c r="K34" s="59"/>
      <c r="L34" s="59"/>
      <c r="M34" s="59"/>
    </row>
    <row r="35" spans="1:13" x14ac:dyDescent="0.25">
      <c r="A35" s="77" t="s">
        <v>258</v>
      </c>
      <c r="B35" s="60"/>
      <c r="C35" s="60"/>
      <c r="D35" s="60"/>
      <c r="E35" s="60"/>
      <c r="F35" s="60"/>
      <c r="G35" s="79"/>
      <c r="H35" s="59"/>
      <c r="I35" s="59"/>
      <c r="J35" s="59"/>
      <c r="K35" s="59"/>
      <c r="L35" s="59"/>
      <c r="M35" s="59"/>
    </row>
    <row r="36" spans="1:13" ht="30" x14ac:dyDescent="0.25">
      <c r="A36" s="78" t="s">
        <v>259</v>
      </c>
      <c r="B36" s="114">
        <f>C4</f>
        <v>0</v>
      </c>
      <c r="C36" s="115" t="s">
        <v>260</v>
      </c>
      <c r="D36" s="114">
        <f>C32+C33</f>
        <v>0</v>
      </c>
      <c r="E36" s="115" t="s">
        <v>261</v>
      </c>
      <c r="F36" s="114">
        <f>C4-(C32+C33)</f>
        <v>0</v>
      </c>
      <c r="G36" s="91" t="str">
        <f>IF(F36&gt;0,CEILING(F36/66,1)&amp;" pallets stay on 1st Floor","All totes redistributed")</f>
        <v>All totes redistributed</v>
      </c>
      <c r="H36" s="59"/>
      <c r="I36" s="59"/>
      <c r="J36" s="59"/>
      <c r="K36" s="59"/>
      <c r="L36" s="59"/>
      <c r="M36" s="59"/>
    </row>
    <row r="37" spans="1:13" x14ac:dyDescent="0.25">
      <c r="A37" s="60"/>
      <c r="B37" s="60"/>
      <c r="C37" s="60"/>
      <c r="D37" s="60"/>
      <c r="E37" s="60"/>
      <c r="F37" s="60"/>
      <c r="G37" s="79"/>
      <c r="H37" s="59"/>
      <c r="I37" s="59"/>
      <c r="J37" s="59"/>
      <c r="K37" s="59"/>
      <c r="L37" s="59"/>
      <c r="M37" s="59"/>
    </row>
    <row r="38" spans="1:13" ht="75" x14ac:dyDescent="0.25">
      <c r="A38" s="60" t="s">
        <v>235</v>
      </c>
      <c r="B38" s="60"/>
      <c r="C38" s="60"/>
      <c r="D38" s="60"/>
      <c r="E38" s="60"/>
      <c r="F38" s="60"/>
      <c r="G38" s="79"/>
      <c r="H38" s="59"/>
      <c r="I38" s="59"/>
      <c r="J38" s="59"/>
      <c r="K38" s="59"/>
      <c r="L38" s="59"/>
      <c r="M38" s="59"/>
    </row>
  </sheetData>
  <mergeCells count="1">
    <mergeCell ref="A28:G28"/>
  </mergeCells>
  <conditionalFormatting sqref="B32:B33">
    <cfRule type="expression" dxfId="15" priority="34">
      <formula>$B32&lt;0</formula>
    </cfRule>
  </conditionalFormatting>
  <conditionalFormatting sqref="E32:G33">
    <cfRule type="expression" dxfId="14" priority="30">
      <formula>$E32&gt;=0</formula>
    </cfRule>
    <cfRule type="expression" dxfId="13" priority="31">
      <formula>$E32&lt;0</formula>
    </cfRule>
    <cfRule type="expression" dxfId="12" priority="36">
      <formula>$E32&gt;=0</formula>
    </cfRule>
    <cfRule type="expression" dxfId="11" priority="37">
      <formula>$E32&lt;0</formula>
    </cfRule>
  </conditionalFormatting>
  <conditionalFormatting sqref="F6">
    <cfRule type="cellIs" dxfId="10" priority="1" operator="between"/>
    <cfRule type="expression" dxfId="9" priority="3">
      <formula>F6&gt;=0</formula>
    </cfRule>
  </conditionalFormatting>
  <conditionalFormatting sqref="F4:G4">
    <cfRule type="expression" dxfId="8" priority="42">
      <formula>$F4&gt;=0</formula>
    </cfRule>
  </conditionalFormatting>
  <conditionalFormatting sqref="F6:G7">
    <cfRule type="expression" dxfId="7" priority="4">
      <formula>$F6&gt;=0</formula>
    </cfRule>
  </conditionalFormatting>
  <conditionalFormatting sqref="F7:G7">
    <cfRule type="expression" dxfId="6" priority="7">
      <formula>$F7&lt;0</formula>
    </cfRule>
  </conditionalFormatting>
  <conditionalFormatting sqref="F10:G12">
    <cfRule type="expression" dxfId="5" priority="8">
      <formula>$F10&gt;=0</formula>
    </cfRule>
    <cfRule type="expression" dxfId="4" priority="9">
      <formula>$F10&lt;0</formula>
    </cfRule>
  </conditionalFormatting>
  <conditionalFormatting sqref="F15:G17">
    <cfRule type="expression" dxfId="3" priority="14">
      <formula>$F15&gt;=0</formula>
    </cfRule>
    <cfRule type="expression" dxfId="2" priority="15">
      <formula>$F15&lt;0</formula>
    </cfRule>
  </conditionalFormatting>
  <conditionalFormatting sqref="F20:G24">
    <cfRule type="expression" dxfId="1" priority="20">
      <formula>$F20&gt;=0</formula>
    </cfRule>
    <cfRule type="expression" dxfId="0" priority="21">
      <formula>$F20&lt;0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abSelected="1" workbookViewId="0">
      <selection activeCell="C35" sqref="C35"/>
    </sheetView>
  </sheetViews>
  <sheetFormatPr defaultRowHeight="15" x14ac:dyDescent="0.25"/>
  <cols>
    <col min="1" max="1" width="38.7109375" customWidth="1"/>
    <col min="2" max="2" width="20.7109375" customWidth="1"/>
    <col min="3" max="3" width="3.7109375" customWidth="1"/>
    <col min="4" max="4" width="30.7109375" customWidth="1"/>
    <col min="5" max="5" width="36.7109375" customWidth="1"/>
  </cols>
  <sheetData>
    <row r="1" spans="1:5" ht="21" x14ac:dyDescent="0.35">
      <c r="A1" s="15" t="s">
        <v>51</v>
      </c>
    </row>
    <row r="2" spans="1:5" x14ac:dyDescent="0.25">
      <c r="A2" s="16" t="s">
        <v>52</v>
      </c>
    </row>
    <row r="3" spans="1:5" x14ac:dyDescent="0.25">
      <c r="A3" s="17" t="s">
        <v>53</v>
      </c>
      <c r="B3" s="17"/>
      <c r="D3" s="45" t="s">
        <v>54</v>
      </c>
      <c r="E3" s="45"/>
    </row>
    <row r="4" spans="1:5" x14ac:dyDescent="0.25">
      <c r="A4" s="19" t="s">
        <v>55</v>
      </c>
      <c r="B4" s="49"/>
    </row>
    <row r="5" spans="1:5" x14ac:dyDescent="0.25">
      <c r="A5" s="19" t="s">
        <v>57</v>
      </c>
      <c r="B5" s="49"/>
      <c r="D5" s="46" t="s">
        <v>58</v>
      </c>
      <c r="E5" s="47" t="s">
        <v>59</v>
      </c>
    </row>
    <row r="6" spans="1:5" x14ac:dyDescent="0.25">
      <c r="A6" s="19" t="s">
        <v>60</v>
      </c>
      <c r="B6" s="49">
        <v>8</v>
      </c>
      <c r="D6" s="18" t="s">
        <v>61</v>
      </c>
      <c r="E6" s="20" t="s">
        <v>62</v>
      </c>
    </row>
    <row r="7" spans="1:5" x14ac:dyDescent="0.25">
      <c r="A7" s="19" t="s">
        <v>63</v>
      </c>
      <c r="B7" s="50">
        <v>10.5</v>
      </c>
      <c r="D7" s="18" t="s">
        <v>58</v>
      </c>
      <c r="E7" s="20" t="s">
        <v>64</v>
      </c>
    </row>
    <row r="8" spans="1:5" x14ac:dyDescent="0.25">
      <c r="A8" s="17" t="s">
        <v>65</v>
      </c>
      <c r="B8" s="17"/>
      <c r="D8" s="18" t="s">
        <v>66</v>
      </c>
      <c r="E8" s="20" t="s">
        <v>67</v>
      </c>
    </row>
    <row r="9" spans="1:5" x14ac:dyDescent="0.25">
      <c r="A9" s="21" t="s">
        <v>68</v>
      </c>
      <c r="B9" s="22">
        <f>IF(B6=0,0,(B4*B5)/B6)</f>
        <v>0</v>
      </c>
      <c r="D9" s="18" t="s">
        <v>69</v>
      </c>
      <c r="E9" s="20" t="s">
        <v>70</v>
      </c>
    </row>
    <row r="10" spans="1:5" x14ac:dyDescent="0.25">
      <c r="A10" s="21" t="s">
        <v>71</v>
      </c>
      <c r="B10" s="13">
        <f>B9*B7</f>
        <v>0</v>
      </c>
    </row>
    <row r="11" spans="1:5" x14ac:dyDescent="0.25">
      <c r="A11" s="21" t="s">
        <v>72</v>
      </c>
      <c r="B11" s="13">
        <f>CEILING(B10/66,1)</f>
        <v>0</v>
      </c>
      <c r="D11" s="18" t="s">
        <v>73</v>
      </c>
      <c r="E11" s="18"/>
    </row>
    <row r="12" spans="1:5" x14ac:dyDescent="0.25">
      <c r="A12" s="21" t="s">
        <v>74</v>
      </c>
      <c r="B12" s="13">
        <f>CEILING(B10/11,1)</f>
        <v>0</v>
      </c>
      <c r="D12" s="20" t="s">
        <v>75</v>
      </c>
      <c r="E12" s="20" t="s">
        <v>76</v>
      </c>
    </row>
    <row r="13" spans="1:5" x14ac:dyDescent="0.25">
      <c r="D13" s="20" t="s">
        <v>77</v>
      </c>
      <c r="E13" s="20" t="s">
        <v>78</v>
      </c>
    </row>
    <row r="14" spans="1:5" x14ac:dyDescent="0.25">
      <c r="A14" s="17" t="s">
        <v>79</v>
      </c>
      <c r="B14" s="17"/>
      <c r="D14" s="20" t="s">
        <v>80</v>
      </c>
      <c r="E14" s="20" t="s">
        <v>81</v>
      </c>
    </row>
    <row r="15" spans="1:5" x14ac:dyDescent="0.25">
      <c r="A15" s="23" t="s">
        <v>82</v>
      </c>
      <c r="B15" s="24">
        <v>11</v>
      </c>
    </row>
    <row r="16" spans="1:5" x14ac:dyDescent="0.25">
      <c r="A16" s="23" t="s">
        <v>83</v>
      </c>
      <c r="B16" s="24">
        <v>6</v>
      </c>
    </row>
    <row r="17" spans="1:4" x14ac:dyDescent="0.25">
      <c r="A17" s="23" t="s">
        <v>84</v>
      </c>
      <c r="B17" s="24">
        <f>B15*B16</f>
        <v>66</v>
      </c>
    </row>
    <row r="19" spans="1:4" x14ac:dyDescent="0.25">
      <c r="A19" s="17" t="s">
        <v>85</v>
      </c>
      <c r="B19" s="17"/>
    </row>
    <row r="20" spans="1:4" x14ac:dyDescent="0.25">
      <c r="A20" s="25" t="s">
        <v>86</v>
      </c>
      <c r="B20" s="26">
        <f>'Tote Count Entry'!C10</f>
        <v>0</v>
      </c>
    </row>
    <row r="21" spans="1:4" x14ac:dyDescent="0.25">
      <c r="A21" s="25" t="s">
        <v>87</v>
      </c>
      <c r="B21" s="26">
        <f>'Tote Count Entry'!D10</f>
        <v>0</v>
      </c>
    </row>
    <row r="22" spans="1:4" x14ac:dyDescent="0.25">
      <c r="A22" s="25" t="s">
        <v>88</v>
      </c>
      <c r="B22" s="26">
        <f>'Tote Count Entry'!I10</f>
        <v>0</v>
      </c>
    </row>
    <row r="23" spans="1:4" x14ac:dyDescent="0.25">
      <c r="A23" s="25" t="s">
        <v>89</v>
      </c>
      <c r="B23" s="26">
        <f>'Tote Count Entry'!J10</f>
        <v>0</v>
      </c>
    </row>
    <row r="24" spans="1:4" x14ac:dyDescent="0.25">
      <c r="A24" s="25" t="s">
        <v>90</v>
      </c>
      <c r="B24" s="26">
        <f>CEILING('Tote Count Entry'!D10/66,1)</f>
        <v>0</v>
      </c>
    </row>
    <row r="25" spans="1:4" x14ac:dyDescent="0.25">
      <c r="A25" s="27" t="s">
        <v>91</v>
      </c>
      <c r="B25" s="39">
        <f>'Building Overview'!C24-'Building Overview'!E24</f>
        <v>0</v>
      </c>
    </row>
    <row r="26" spans="1:4" ht="60" x14ac:dyDescent="0.25">
      <c r="A26" s="27" t="s">
        <v>92</v>
      </c>
      <c r="B26" s="28" t="str">
        <f>IF(B25&gt;=0,"REDISTRIBUTE - Building has "&amp;B25&amp;" surplus totes ("&amp;CEILING(B25/66,1)&amp;" pallets). Move to pick areas.","ADD "&amp;CEILING(ABS(B25)/66,1)&amp;" pallets to building + REDISTRIBUTE existing totes")</f>
        <v>REDISTRIBUTE - Building has 0 surplus totes (0 pallets). Move to pick areas.</v>
      </c>
    </row>
    <row r="28" spans="1:4" x14ac:dyDescent="0.25">
      <c r="A28" s="140" t="s">
        <v>179</v>
      </c>
      <c r="B28" s="141"/>
      <c r="C28" s="141"/>
      <c r="D28" s="141"/>
    </row>
    <row r="29" spans="1:4" x14ac:dyDescent="0.25">
      <c r="A29" t="s">
        <v>180</v>
      </c>
      <c r="B29" s="33">
        <f>B4</f>
        <v>0</v>
      </c>
    </row>
    <row r="30" spans="1:4" x14ac:dyDescent="0.25">
      <c r="A30" t="s">
        <v>57</v>
      </c>
      <c r="B30" s="33">
        <f>B5</f>
        <v>0</v>
      </c>
    </row>
    <row r="31" spans="1:4" x14ac:dyDescent="0.25">
      <c r="A31" t="s">
        <v>60</v>
      </c>
      <c r="B31" s="33">
        <f>B6</f>
        <v>8</v>
      </c>
    </row>
    <row r="32" spans="1:4" x14ac:dyDescent="0.25">
      <c r="A32" t="s">
        <v>63</v>
      </c>
      <c r="B32" s="33">
        <f>B7</f>
        <v>10.5</v>
      </c>
    </row>
    <row r="34" spans="1:5" x14ac:dyDescent="0.25">
      <c r="A34" s="34" t="s">
        <v>2</v>
      </c>
      <c r="B34" s="34" t="s">
        <v>181</v>
      </c>
      <c r="C34" s="34" t="s">
        <v>311</v>
      </c>
      <c r="D34" s="34" t="s">
        <v>56</v>
      </c>
      <c r="E34" s="134" t="s">
        <v>47</v>
      </c>
    </row>
    <row r="35" spans="1:5" x14ac:dyDescent="0.25">
      <c r="A35" s="35" t="s">
        <v>240</v>
      </c>
      <c r="B35" s="51"/>
      <c r="C35" s="51">
        <f>B30</f>
        <v>0</v>
      </c>
      <c r="D35" s="36">
        <f>IF($B$31=0,0,(B35*C35)/$B$31)</f>
        <v>0</v>
      </c>
      <c r="E35" s="135">
        <f>D35*$B$32</f>
        <v>0</v>
      </c>
    </row>
    <row r="36" spans="1:5" x14ac:dyDescent="0.25">
      <c r="A36" s="35" t="s">
        <v>241</v>
      </c>
      <c r="B36" s="51"/>
      <c r="C36" s="51">
        <f>B30</f>
        <v>0</v>
      </c>
      <c r="D36" s="36">
        <f>IF($B$31=0,0,(B36*C36)/$B$31)</f>
        <v>0</v>
      </c>
      <c r="E36" s="135">
        <f>D36*$B$32</f>
        <v>0</v>
      </c>
    </row>
    <row r="37" spans="1:5" x14ac:dyDescent="0.25">
      <c r="A37" s="35" t="s">
        <v>242</v>
      </c>
      <c r="B37" s="51"/>
      <c r="C37" s="51">
        <f>B30</f>
        <v>0</v>
      </c>
      <c r="D37" s="36">
        <f>IF($B$31=0,0,(B37*C37)/$B$31)</f>
        <v>0</v>
      </c>
      <c r="E37" s="135">
        <f>D37*$B$32</f>
        <v>0</v>
      </c>
    </row>
    <row r="38" spans="1:5" x14ac:dyDescent="0.25">
      <c r="A38" s="35" t="s">
        <v>243</v>
      </c>
      <c r="B38" s="51"/>
      <c r="C38" s="51">
        <f>B30</f>
        <v>0</v>
      </c>
      <c r="D38" s="36">
        <f>IF($B$31=0,0,(B38*C38)/$B$31)</f>
        <v>0</v>
      </c>
      <c r="E38" s="135">
        <f>D38*$B$32</f>
        <v>0</v>
      </c>
    </row>
    <row r="39" spans="1:5" x14ac:dyDescent="0.25">
      <c r="A39" s="35" t="s">
        <v>244</v>
      </c>
      <c r="B39" s="51"/>
      <c r="C39" s="51">
        <f>B30</f>
        <v>0</v>
      </c>
      <c r="D39" s="36">
        <f>IF($B$31=0,0,(B39*C39)/$B$31)</f>
        <v>0</v>
      </c>
      <c r="E39" s="135">
        <f>D39*$B$32</f>
        <v>0</v>
      </c>
    </row>
    <row r="40" spans="1:5" x14ac:dyDescent="0.25">
      <c r="A40" s="37" t="s">
        <v>182</v>
      </c>
      <c r="B40" s="38">
        <f>SUM(B35:B39)</f>
        <v>0</v>
      </c>
      <c r="C40" s="38"/>
      <c r="D40" s="38">
        <f>SUM(D35:D39)</f>
        <v>0</v>
      </c>
      <c r="E40" s="136">
        <f>SUM(E35:E39)</f>
        <v>0</v>
      </c>
    </row>
    <row r="42" spans="1:5" x14ac:dyDescent="0.25">
      <c r="A42" s="48" t="s">
        <v>235</v>
      </c>
    </row>
  </sheetData>
  <mergeCells count="1">
    <mergeCell ref="A28:D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0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customWidth="1"/>
    <col min="2" max="2" width="6.7109375" customWidth="1"/>
    <col min="3" max="3" width="8.7109375" customWidth="1"/>
    <col min="4" max="9" width="12.7109375" customWidth="1"/>
    <col min="10" max="21" width="10.7109375" customWidth="1"/>
  </cols>
  <sheetData>
    <row r="1" spans="1:21" ht="30" x14ac:dyDescent="0.25">
      <c r="A1" s="3" t="s">
        <v>93</v>
      </c>
      <c r="B1" s="3" t="s">
        <v>94</v>
      </c>
      <c r="C1" s="3" t="s">
        <v>2</v>
      </c>
      <c r="D1" s="3" t="s">
        <v>43</v>
      </c>
      <c r="E1" s="3" t="s">
        <v>95</v>
      </c>
      <c r="F1" s="3" t="s">
        <v>96</v>
      </c>
      <c r="G1" s="3" t="s">
        <v>97</v>
      </c>
      <c r="H1" s="3" t="s">
        <v>44</v>
      </c>
      <c r="I1" s="3" t="s">
        <v>9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3" t="s">
        <v>104</v>
      </c>
      <c r="Q1" s="3" t="s">
        <v>105</v>
      </c>
      <c r="R1" s="3" t="s">
        <v>106</v>
      </c>
      <c r="S1" s="3" t="s">
        <v>107</v>
      </c>
      <c r="T1" s="3" t="s">
        <v>108</v>
      </c>
      <c r="U1" s="3" t="s">
        <v>109</v>
      </c>
    </row>
    <row r="2" spans="1:21" x14ac:dyDescent="0.25">
      <c r="A2" s="31">
        <f ca="1">TODAY()</f>
        <v>46292</v>
      </c>
      <c r="B2" s="29" t="str">
        <f t="shared" ref="B2:B11" ca="1" si="0">TEXT(A2,"dddd")</f>
        <v>Sunday</v>
      </c>
      <c r="C2" s="29" t="s">
        <v>24</v>
      </c>
      <c r="D2" s="5">
        <f>'Tote Count Entry'!E5</f>
        <v>0</v>
      </c>
      <c r="E2" s="5">
        <f>'Tote Count Entry'!F5</f>
        <v>0</v>
      </c>
      <c r="F2" s="5">
        <f>'Tote Count Entry'!G5</f>
        <v>0</v>
      </c>
      <c r="G2" s="5">
        <f>'Tote Count Entry'!H5</f>
        <v>0</v>
      </c>
      <c r="H2" s="5">
        <f>'Tote Count Entry'!J5</f>
        <v>0</v>
      </c>
      <c r="I2" s="5">
        <f>'Tote Count Entry'!I5</f>
        <v>0</v>
      </c>
      <c r="J2" s="5">
        <f>'Tote Count Entry'!T43</f>
        <v>0</v>
      </c>
      <c r="K2" s="5">
        <f>'Tote Count Entry'!S43</f>
        <v>0</v>
      </c>
      <c r="L2" s="5">
        <f>'Tote Count Entry'!X43</f>
        <v>0</v>
      </c>
      <c r="M2" s="5">
        <f>'Tote Count Entry'!W43</f>
        <v>0</v>
      </c>
      <c r="N2" s="5">
        <f>'Tote Count Entry'!V43</f>
        <v>0</v>
      </c>
      <c r="O2" s="5">
        <f>'Tote Count Entry'!U43</f>
        <v>0</v>
      </c>
      <c r="P2" s="5">
        <f>'Tote Count Entry'!Z43</f>
        <v>0</v>
      </c>
      <c r="Q2" s="5">
        <f>'Tote Count Entry'!Y43</f>
        <v>0</v>
      </c>
      <c r="R2" s="5">
        <f>'Tote Count Entry'!AC43</f>
        <v>0</v>
      </c>
      <c r="S2" s="5">
        <f>'Tote Count Entry'!AB43</f>
        <v>0</v>
      </c>
      <c r="T2" s="5">
        <f>'Tote Count Entry'!AE43</f>
        <v>0</v>
      </c>
      <c r="U2" s="5">
        <f>'Tote Count Entry'!AD43</f>
        <v>0</v>
      </c>
    </row>
    <row r="3" spans="1:21" x14ac:dyDescent="0.25">
      <c r="A3" s="31">
        <f ca="1">A2</f>
        <v>46292</v>
      </c>
      <c r="B3" s="29" t="str">
        <f t="shared" ca="1" si="0"/>
        <v>Sunday</v>
      </c>
      <c r="C3" s="29" t="s">
        <v>30</v>
      </c>
      <c r="D3" s="5">
        <f>'Tote Count Entry'!E6</f>
        <v>0</v>
      </c>
      <c r="E3" s="5">
        <f>'Tote Count Entry'!F6</f>
        <v>0</v>
      </c>
      <c r="F3" s="5">
        <f>'Tote Count Entry'!G6</f>
        <v>0</v>
      </c>
      <c r="G3" s="5">
        <f>'Tote Count Entry'!H6</f>
        <v>0</v>
      </c>
      <c r="H3" s="5">
        <f>'Tote Count Entry'!J6</f>
        <v>0</v>
      </c>
      <c r="I3" s="5">
        <f>'Tote Count Entry'!I6</f>
        <v>0</v>
      </c>
      <c r="J3" s="5">
        <f>'Tote Count Entry'!T76</f>
        <v>0</v>
      </c>
      <c r="K3" s="5">
        <f>'Tote Count Entry'!S76</f>
        <v>0</v>
      </c>
      <c r="L3" s="5">
        <f>'Tote Count Entry'!X76</f>
        <v>0</v>
      </c>
      <c r="M3" s="5">
        <f>'Tote Count Entry'!W76</f>
        <v>0</v>
      </c>
      <c r="N3" s="5">
        <f>'Tote Count Entry'!V76</f>
        <v>0</v>
      </c>
      <c r="O3" s="5">
        <f>'Tote Count Entry'!U76</f>
        <v>0</v>
      </c>
      <c r="P3" s="5">
        <f>'Tote Count Entry'!Z76</f>
        <v>0</v>
      </c>
      <c r="Q3" s="5">
        <f>'Tote Count Entry'!Y76</f>
        <v>0</v>
      </c>
      <c r="R3" s="5">
        <f>'Tote Count Entry'!AC76</f>
        <v>0</v>
      </c>
      <c r="S3" s="5">
        <f>'Tote Count Entry'!AB76</f>
        <v>0</v>
      </c>
      <c r="T3" s="5">
        <f>'Tote Count Entry'!AE76</f>
        <v>0</v>
      </c>
      <c r="U3" s="5">
        <f>'Tote Count Entry'!AD76</f>
        <v>0</v>
      </c>
    </row>
    <row r="4" spans="1:21" x14ac:dyDescent="0.25">
      <c r="A4" s="31">
        <f ca="1">A2</f>
        <v>46292</v>
      </c>
      <c r="B4" s="29" t="str">
        <f t="shared" ca="1" si="0"/>
        <v>Sunday</v>
      </c>
      <c r="C4" s="29" t="s">
        <v>33</v>
      </c>
      <c r="D4" s="5">
        <f>'Tote Count Entry'!E7</f>
        <v>0</v>
      </c>
      <c r="E4" s="5">
        <f>'Tote Count Entry'!F7</f>
        <v>0</v>
      </c>
      <c r="F4" s="5">
        <f>'Tote Count Entry'!G7</f>
        <v>0</v>
      </c>
      <c r="G4" s="5">
        <f>'Tote Count Entry'!H7</f>
        <v>0</v>
      </c>
      <c r="H4" s="5">
        <f>'Tote Count Entry'!J7</f>
        <v>0</v>
      </c>
      <c r="I4" s="5">
        <f>'Tote Count Entry'!I7</f>
        <v>0</v>
      </c>
      <c r="J4" s="5">
        <f>'Tote Count Entry'!T108</f>
        <v>0</v>
      </c>
      <c r="K4" s="5">
        <f>'Tote Count Entry'!S108</f>
        <v>0</v>
      </c>
      <c r="L4" s="5">
        <f>'Tote Count Entry'!X108</f>
        <v>0</v>
      </c>
      <c r="M4" s="5">
        <f>'Tote Count Entry'!W108</f>
        <v>0</v>
      </c>
      <c r="N4" s="5">
        <f>'Tote Count Entry'!V108</f>
        <v>0</v>
      </c>
      <c r="O4" s="5">
        <f>'Tote Count Entry'!U108</f>
        <v>0</v>
      </c>
      <c r="P4" s="5">
        <f>'Tote Count Entry'!Z108</f>
        <v>0</v>
      </c>
      <c r="Q4" s="5">
        <f>'Tote Count Entry'!Y108</f>
        <v>0</v>
      </c>
      <c r="R4" s="5">
        <f>'Tote Count Entry'!AC108</f>
        <v>0</v>
      </c>
      <c r="S4" s="5">
        <f>'Tote Count Entry'!AB108</f>
        <v>0</v>
      </c>
      <c r="T4" s="5">
        <f>'Tote Count Entry'!AE108</f>
        <v>0</v>
      </c>
      <c r="U4" s="5">
        <f>'Tote Count Entry'!AD108</f>
        <v>0</v>
      </c>
    </row>
    <row r="5" spans="1:21" x14ac:dyDescent="0.25">
      <c r="A5" s="31">
        <f ca="1">A2</f>
        <v>46292</v>
      </c>
      <c r="B5" s="29" t="str">
        <f t="shared" ca="1" si="0"/>
        <v>Sunday</v>
      </c>
      <c r="C5" s="29" t="s">
        <v>36</v>
      </c>
      <c r="D5" s="5">
        <f>'Tote Count Entry'!E8</f>
        <v>0</v>
      </c>
      <c r="E5" s="5">
        <f>'Tote Count Entry'!F8</f>
        <v>0</v>
      </c>
      <c r="F5" s="5">
        <f>'Tote Count Entry'!G8</f>
        <v>0</v>
      </c>
      <c r="G5" s="5">
        <f>'Tote Count Entry'!H8</f>
        <v>0</v>
      </c>
      <c r="H5" s="5">
        <f>'Tote Count Entry'!J8</f>
        <v>0</v>
      </c>
      <c r="I5" s="5">
        <f>'Tote Count Entry'!I8</f>
        <v>0</v>
      </c>
      <c r="J5" s="5">
        <f>'Tote Count Entry'!T140</f>
        <v>0</v>
      </c>
      <c r="K5" s="5">
        <f>'Tote Count Entry'!S140</f>
        <v>0</v>
      </c>
      <c r="L5" s="5">
        <f>'Tote Count Entry'!X140</f>
        <v>0</v>
      </c>
      <c r="M5" s="5">
        <f>'Tote Count Entry'!W140</f>
        <v>0</v>
      </c>
      <c r="N5" s="5">
        <f>'Tote Count Entry'!V140</f>
        <v>0</v>
      </c>
      <c r="O5" s="5">
        <f>'Tote Count Entry'!U140</f>
        <v>0</v>
      </c>
      <c r="P5" s="5">
        <f>'Tote Count Entry'!Z140</f>
        <v>0</v>
      </c>
      <c r="Q5" s="5">
        <f>'Tote Count Entry'!Y140</f>
        <v>0</v>
      </c>
      <c r="R5" s="5">
        <f>'Tote Count Entry'!AC140</f>
        <v>0</v>
      </c>
      <c r="S5" s="5">
        <f>'Tote Count Entry'!AB140</f>
        <v>0</v>
      </c>
      <c r="T5" s="5">
        <f>'Tote Count Entry'!AE140</f>
        <v>0</v>
      </c>
      <c r="U5" s="5">
        <f>'Tote Count Entry'!AD140</f>
        <v>0</v>
      </c>
    </row>
    <row r="6" spans="1:21" x14ac:dyDescent="0.25">
      <c r="A6" s="31">
        <f ca="1">A2</f>
        <v>46292</v>
      </c>
      <c r="B6" s="29" t="str">
        <f t="shared" ca="1" si="0"/>
        <v>Sunday</v>
      </c>
      <c r="C6" s="29" t="s">
        <v>39</v>
      </c>
      <c r="D6" s="5">
        <f>'Tote Count Entry'!E9</f>
        <v>0</v>
      </c>
      <c r="E6" s="5">
        <f>'Tote Count Entry'!F9</f>
        <v>0</v>
      </c>
      <c r="F6" s="5">
        <f>'Tote Count Entry'!G9</f>
        <v>0</v>
      </c>
      <c r="G6" s="5">
        <f>'Tote Count Entry'!H9</f>
        <v>0</v>
      </c>
      <c r="H6" s="5">
        <f>'Tote Count Entry'!J9</f>
        <v>0</v>
      </c>
      <c r="I6" s="5">
        <f>'Tote Count Entry'!I9</f>
        <v>0</v>
      </c>
      <c r="J6" s="5">
        <f>'Tote Count Entry'!T172</f>
        <v>0</v>
      </c>
      <c r="K6" s="5">
        <f>'Tote Count Entry'!S172</f>
        <v>0</v>
      </c>
      <c r="L6" s="5">
        <f>'Tote Count Entry'!X172</f>
        <v>0</v>
      </c>
      <c r="M6" s="5">
        <f>'Tote Count Entry'!W172</f>
        <v>0</v>
      </c>
      <c r="N6" s="5">
        <f>'Tote Count Entry'!V172</f>
        <v>0</v>
      </c>
      <c r="O6" s="5">
        <f>'Tote Count Entry'!U172</f>
        <v>0</v>
      </c>
      <c r="P6" s="5">
        <f>'Tote Count Entry'!Z172</f>
        <v>0</v>
      </c>
      <c r="Q6" s="5">
        <f>'Tote Count Entry'!Y172</f>
        <v>0</v>
      </c>
      <c r="R6" s="5">
        <f>'Tote Count Entry'!AC172</f>
        <v>0</v>
      </c>
      <c r="S6" s="5">
        <f>'Tote Count Entry'!AB172</f>
        <v>0</v>
      </c>
      <c r="T6" s="5">
        <f>'Tote Count Entry'!AE172</f>
        <v>0</v>
      </c>
      <c r="U6" s="5">
        <f>'Tote Count Entry'!AD172</f>
        <v>0</v>
      </c>
    </row>
    <row r="7" spans="1:21" x14ac:dyDescent="0.25">
      <c r="A7" s="31">
        <f ca="1">TODAY()</f>
        <v>46292</v>
      </c>
      <c r="B7" s="29" t="str">
        <f t="shared" ca="1" si="0"/>
        <v>Sunday</v>
      </c>
      <c r="C7" s="29" t="s">
        <v>24</v>
      </c>
      <c r="D7" s="5">
        <f>'Tote Count Entry'!E10</f>
        <v>0</v>
      </c>
      <c r="E7" s="5">
        <f>'Tote Count Entry'!F10</f>
        <v>0</v>
      </c>
      <c r="F7" s="5">
        <f>'Tote Count Entry'!G10</f>
        <v>0</v>
      </c>
      <c r="G7" s="5">
        <f>'Tote Count Entry'!H10</f>
        <v>0</v>
      </c>
      <c r="H7" s="5">
        <f>'Tote Count Entry'!J10</f>
        <v>0</v>
      </c>
      <c r="I7" s="5">
        <f>'Tote Count Entry'!I10</f>
        <v>0</v>
      </c>
      <c r="J7" s="5" t="str">
        <f>'Tote Count Entry'!T48</f>
        <v>P</v>
      </c>
      <c r="K7" s="5" t="str">
        <f>'Tote Count Entry'!S48</f>
        <v>S</v>
      </c>
      <c r="L7" s="5" t="str">
        <f>'Tote Count Entry'!X48</f>
        <v>P</v>
      </c>
      <c r="M7" s="5" t="str">
        <f>'Tote Count Entry'!W48</f>
        <v>S</v>
      </c>
      <c r="N7" s="5" t="str">
        <f>'Tote Count Entry'!V48</f>
        <v>P</v>
      </c>
      <c r="O7" s="5" t="str">
        <f>'Tote Count Entry'!U48</f>
        <v>S</v>
      </c>
      <c r="P7" s="5" t="str">
        <f>'Tote Count Entry'!Z48</f>
        <v>P</v>
      </c>
      <c r="Q7" s="5" t="str">
        <f>'Tote Count Entry'!Y48</f>
        <v>S</v>
      </c>
      <c r="R7" s="5" t="str">
        <f>'Tote Count Entry'!AC48</f>
        <v>P</v>
      </c>
      <c r="S7" s="5" t="str">
        <f>'Tote Count Entry'!AB48</f>
        <v>S</v>
      </c>
      <c r="T7" s="5" t="str">
        <f>'Tote Count Entry'!AE48</f>
        <v>P</v>
      </c>
      <c r="U7" s="5" t="str">
        <f>'Tote Count Entry'!AD48</f>
        <v>S</v>
      </c>
    </row>
    <row r="8" spans="1:21" x14ac:dyDescent="0.25">
      <c r="A8" s="31">
        <f ca="1">A7</f>
        <v>46292</v>
      </c>
      <c r="B8" s="29" t="str">
        <f t="shared" ca="1" si="0"/>
        <v>Sunday</v>
      </c>
      <c r="C8" s="29" t="s">
        <v>30</v>
      </c>
      <c r="D8" s="5">
        <f>'Tote Count Entry'!E11</f>
        <v>0</v>
      </c>
      <c r="E8" s="5">
        <f>'Tote Count Entry'!F11</f>
        <v>0</v>
      </c>
      <c r="F8" s="5">
        <f>'Tote Count Entry'!G11</f>
        <v>0</v>
      </c>
      <c r="G8" s="5">
        <f>'Tote Count Entry'!H11</f>
        <v>0</v>
      </c>
      <c r="H8" s="5">
        <f>'Tote Count Entry'!J11</f>
        <v>0</v>
      </c>
      <c r="I8" s="5">
        <f>'Tote Count Entry'!I11</f>
        <v>0</v>
      </c>
      <c r="J8" s="5" t="str">
        <f>'Tote Count Entry'!T81</f>
        <v>P</v>
      </c>
      <c r="K8" s="5" t="str">
        <f>'Tote Count Entry'!S81</f>
        <v>S</v>
      </c>
      <c r="L8" s="5" t="str">
        <f>'Tote Count Entry'!X81</f>
        <v>P</v>
      </c>
      <c r="M8" s="5" t="str">
        <f>'Tote Count Entry'!W81</f>
        <v>S</v>
      </c>
      <c r="N8" s="5" t="str">
        <f>'Tote Count Entry'!V81</f>
        <v>P</v>
      </c>
      <c r="O8" s="5" t="str">
        <f>'Tote Count Entry'!U81</f>
        <v>S</v>
      </c>
      <c r="P8" s="5" t="str">
        <f>'Tote Count Entry'!Z81</f>
        <v>P</v>
      </c>
      <c r="Q8" s="5" t="str">
        <f>'Tote Count Entry'!Y81</f>
        <v>S</v>
      </c>
      <c r="R8" s="5" t="str">
        <f>'Tote Count Entry'!AC81</f>
        <v>P</v>
      </c>
      <c r="S8" s="5" t="str">
        <f>'Tote Count Entry'!AB81</f>
        <v>S</v>
      </c>
      <c r="T8" s="5" t="str">
        <f>'Tote Count Entry'!AE81</f>
        <v>P</v>
      </c>
      <c r="U8" s="5" t="str">
        <f>'Tote Count Entry'!AD81</f>
        <v>S</v>
      </c>
    </row>
    <row r="9" spans="1:21" x14ac:dyDescent="0.25">
      <c r="A9" s="31">
        <f ca="1">A7</f>
        <v>46292</v>
      </c>
      <c r="B9" s="29" t="str">
        <f t="shared" ca="1" si="0"/>
        <v>Sunday</v>
      </c>
      <c r="C9" s="29" t="s">
        <v>33</v>
      </c>
      <c r="D9" s="5">
        <f>'Tote Count Entry'!E12</f>
        <v>0</v>
      </c>
      <c r="E9" s="5">
        <f>'Tote Count Entry'!F12</f>
        <v>0</v>
      </c>
      <c r="F9" s="5">
        <f>'Tote Count Entry'!G12</f>
        <v>0</v>
      </c>
      <c r="G9" s="5">
        <f>'Tote Count Entry'!H12</f>
        <v>0</v>
      </c>
      <c r="H9" s="5">
        <f>'Tote Count Entry'!J12</f>
        <v>0</v>
      </c>
      <c r="I9" s="5">
        <f>'Tote Count Entry'!I12</f>
        <v>0</v>
      </c>
      <c r="J9" s="5" t="str">
        <f>'Tote Count Entry'!T113</f>
        <v>P</v>
      </c>
      <c r="K9" s="5" t="str">
        <f>'Tote Count Entry'!S113</f>
        <v>S</v>
      </c>
      <c r="L9" s="5" t="str">
        <f>'Tote Count Entry'!X113</f>
        <v>P</v>
      </c>
      <c r="M9" s="5" t="str">
        <f>'Tote Count Entry'!W113</f>
        <v>S</v>
      </c>
      <c r="N9" s="5" t="str">
        <f>'Tote Count Entry'!V113</f>
        <v>P</v>
      </c>
      <c r="O9" s="5" t="str">
        <f>'Tote Count Entry'!U113</f>
        <v>S</v>
      </c>
      <c r="P9" s="5" t="str">
        <f>'Tote Count Entry'!Z113</f>
        <v>P</v>
      </c>
      <c r="Q9" s="5" t="str">
        <f>'Tote Count Entry'!Y113</f>
        <v>S</v>
      </c>
      <c r="R9" s="5" t="str">
        <f>'Tote Count Entry'!AC113</f>
        <v>P</v>
      </c>
      <c r="S9" s="5" t="str">
        <f>'Tote Count Entry'!AB113</f>
        <v>S</v>
      </c>
      <c r="T9" s="5" t="str">
        <f>'Tote Count Entry'!AE113</f>
        <v>P</v>
      </c>
      <c r="U9" s="5" t="str">
        <f>'Tote Count Entry'!AD113</f>
        <v>S</v>
      </c>
    </row>
    <row r="10" spans="1:21" x14ac:dyDescent="0.25">
      <c r="A10" s="31">
        <f ca="1">A7</f>
        <v>46292</v>
      </c>
      <c r="B10" s="29" t="str">
        <f t="shared" ca="1" si="0"/>
        <v>Sunday</v>
      </c>
      <c r="C10" s="29" t="s">
        <v>36</v>
      </c>
      <c r="D10" s="5">
        <f>'Tote Count Entry'!E13</f>
        <v>0</v>
      </c>
      <c r="E10" s="5">
        <f>'Tote Count Entry'!F13</f>
        <v>0</v>
      </c>
      <c r="F10" s="5">
        <f>'Tote Count Entry'!G13</f>
        <v>0</v>
      </c>
      <c r="G10" s="5">
        <f>'Tote Count Entry'!H13</f>
        <v>0</v>
      </c>
      <c r="H10" s="5">
        <f>'Tote Count Entry'!J13</f>
        <v>0</v>
      </c>
      <c r="I10" s="5">
        <f>'Tote Count Entry'!I13</f>
        <v>0</v>
      </c>
      <c r="J10" s="5" t="str">
        <f>'Tote Count Entry'!T145</f>
        <v>P</v>
      </c>
      <c r="K10" s="5" t="str">
        <f>'Tote Count Entry'!S145</f>
        <v>S</v>
      </c>
      <c r="L10" s="5" t="str">
        <f>'Tote Count Entry'!X145</f>
        <v>P</v>
      </c>
      <c r="M10" s="5" t="str">
        <f>'Tote Count Entry'!W145</f>
        <v>S</v>
      </c>
      <c r="N10" s="5" t="str">
        <f>'Tote Count Entry'!V145</f>
        <v>P</v>
      </c>
      <c r="O10" s="5" t="str">
        <f>'Tote Count Entry'!U145</f>
        <v>S</v>
      </c>
      <c r="P10" s="5" t="str">
        <f>'Tote Count Entry'!Z145</f>
        <v>P</v>
      </c>
      <c r="Q10" s="5" t="str">
        <f>'Tote Count Entry'!Y145</f>
        <v>S</v>
      </c>
      <c r="R10" s="5" t="str">
        <f>'Tote Count Entry'!AC145</f>
        <v>P</v>
      </c>
      <c r="S10" s="5" t="str">
        <f>'Tote Count Entry'!AB145</f>
        <v>S</v>
      </c>
      <c r="T10" s="5" t="str">
        <f>'Tote Count Entry'!AE145</f>
        <v>P</v>
      </c>
      <c r="U10" s="5" t="str">
        <f>'Tote Count Entry'!AD145</f>
        <v>S</v>
      </c>
    </row>
    <row r="11" spans="1:21" x14ac:dyDescent="0.25">
      <c r="A11" s="31">
        <f ca="1">A7</f>
        <v>46292</v>
      </c>
      <c r="B11" s="29" t="str">
        <f t="shared" ca="1" si="0"/>
        <v>Sunday</v>
      </c>
      <c r="C11" s="29" t="s">
        <v>39</v>
      </c>
      <c r="D11" s="5">
        <f>'Tote Count Entry'!E14</f>
        <v>0</v>
      </c>
      <c r="E11" s="5">
        <f>'Tote Count Entry'!F14</f>
        <v>0</v>
      </c>
      <c r="F11" s="5">
        <f>'Tote Count Entry'!G14</f>
        <v>0</v>
      </c>
      <c r="G11" s="5">
        <f>'Tote Count Entry'!H14</f>
        <v>0</v>
      </c>
      <c r="H11" s="5">
        <f>'Tote Count Entry'!J14</f>
        <v>0</v>
      </c>
      <c r="I11" s="5">
        <f>'Tote Count Entry'!I14</f>
        <v>0</v>
      </c>
      <c r="J11" s="5">
        <f>'Tote Count Entry'!T177</f>
        <v>0</v>
      </c>
      <c r="K11" s="5">
        <f>'Tote Count Entry'!S177</f>
        <v>0</v>
      </c>
      <c r="L11" s="5">
        <f>'Tote Count Entry'!X177</f>
        <v>0</v>
      </c>
      <c r="M11" s="5">
        <f>'Tote Count Entry'!W177</f>
        <v>0</v>
      </c>
      <c r="N11" s="5">
        <f>'Tote Count Entry'!V177</f>
        <v>0</v>
      </c>
      <c r="O11" s="5">
        <f>'Tote Count Entry'!U177</f>
        <v>0</v>
      </c>
      <c r="P11" s="5">
        <f>'Tote Count Entry'!Z177</f>
        <v>0</v>
      </c>
      <c r="Q11" s="5">
        <f>'Tote Count Entry'!Y177</f>
        <v>0</v>
      </c>
      <c r="R11" s="5">
        <f>'Tote Count Entry'!AC177</f>
        <v>0</v>
      </c>
      <c r="S11" s="5">
        <f>'Tote Count Entry'!AB177</f>
        <v>0</v>
      </c>
      <c r="T11" s="5">
        <f>'Tote Count Entry'!AE177</f>
        <v>0</v>
      </c>
      <c r="U11" s="5">
        <f>'Tote Count Entry'!AD177</f>
        <v>0</v>
      </c>
    </row>
    <row r="12" spans="1:21" x14ac:dyDescent="0.25">
      <c r="A12" s="54"/>
      <c r="B12" s="52"/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 spans="1:21" x14ac:dyDescent="0.25">
      <c r="A13" s="54"/>
      <c r="B13" s="52"/>
      <c r="C13" s="52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</row>
    <row r="14" spans="1:21" x14ac:dyDescent="0.25">
      <c r="A14" s="54"/>
      <c r="B14" s="52"/>
      <c r="C14" s="52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</row>
    <row r="15" spans="1:21" x14ac:dyDescent="0.25">
      <c r="A15" s="54"/>
      <c r="B15" s="52"/>
      <c r="C15" s="52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</row>
    <row r="16" spans="1:21" x14ac:dyDescent="0.25">
      <c r="A16" s="54"/>
      <c r="B16" s="52"/>
      <c r="C16" s="52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7" spans="1:21" x14ac:dyDescent="0.25">
      <c r="A17" s="54"/>
      <c r="B17" s="52"/>
      <c r="C17" s="52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</row>
    <row r="18" spans="1:21" x14ac:dyDescent="0.25">
      <c r="A18" s="54"/>
      <c r="B18" s="52"/>
      <c r="C18" s="52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</row>
    <row r="19" spans="1:21" x14ac:dyDescent="0.25">
      <c r="A19" s="54"/>
      <c r="B19" s="52"/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 spans="1:21" x14ac:dyDescent="0.25">
      <c r="A20" s="54"/>
      <c r="B20" s="52"/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 spans="1:21" x14ac:dyDescent="0.25">
      <c r="A21" s="54"/>
      <c r="B21" s="52"/>
      <c r="C21" s="52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</row>
    <row r="22" spans="1:21" x14ac:dyDescent="0.25">
      <c r="A22" s="54"/>
      <c r="B22" s="52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</row>
    <row r="23" spans="1:21" x14ac:dyDescent="0.25">
      <c r="A23" s="54"/>
      <c r="B23" s="52"/>
      <c r="C23" s="52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</row>
    <row r="24" spans="1:21" x14ac:dyDescent="0.25">
      <c r="A24" s="54"/>
      <c r="B24" s="52"/>
      <c r="C24" s="52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</row>
    <row r="25" spans="1:21" x14ac:dyDescent="0.25">
      <c r="A25" s="54"/>
      <c r="B25" s="52"/>
      <c r="C25" s="52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 spans="1:21" x14ac:dyDescent="0.25">
      <c r="A26" s="54"/>
      <c r="B26" s="52"/>
      <c r="C26" s="52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</row>
    <row r="27" spans="1:21" x14ac:dyDescent="0.25">
      <c r="A27" s="54"/>
      <c r="B27" s="52"/>
      <c r="C27" s="52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</row>
    <row r="28" spans="1:21" x14ac:dyDescent="0.25">
      <c r="A28" s="54"/>
      <c r="B28" s="52"/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</row>
    <row r="29" spans="1:21" x14ac:dyDescent="0.25">
      <c r="A29" s="54"/>
      <c r="B29" s="52"/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</row>
    <row r="30" spans="1:21" x14ac:dyDescent="0.25">
      <c r="A30" s="54"/>
      <c r="B30" s="52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</row>
    <row r="31" spans="1:21" x14ac:dyDescent="0.25">
      <c r="A31" s="54"/>
      <c r="B31" s="52"/>
      <c r="C31" s="52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</row>
    <row r="32" spans="1:21" x14ac:dyDescent="0.25">
      <c r="A32" s="54"/>
      <c r="B32" s="52"/>
      <c r="C32" s="52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</row>
    <row r="33" spans="1:21" x14ac:dyDescent="0.25">
      <c r="A33" s="54"/>
      <c r="B33" s="52"/>
      <c r="C33" s="52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</row>
    <row r="34" spans="1:21" x14ac:dyDescent="0.25">
      <c r="A34" s="54"/>
      <c r="B34" s="52"/>
      <c r="C34" s="52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</row>
    <row r="35" spans="1:21" x14ac:dyDescent="0.25">
      <c r="A35" s="54"/>
      <c r="B35" s="52"/>
      <c r="C35" s="52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</row>
    <row r="36" spans="1:21" x14ac:dyDescent="0.25">
      <c r="A36" s="54"/>
      <c r="B36" s="52"/>
      <c r="C36" s="52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</row>
    <row r="37" spans="1:21" x14ac:dyDescent="0.25">
      <c r="A37" s="54"/>
      <c r="B37" s="52"/>
      <c r="C37" s="52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</row>
    <row r="38" spans="1:21" x14ac:dyDescent="0.25">
      <c r="A38" s="54"/>
      <c r="B38" s="52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 spans="1:21" x14ac:dyDescent="0.25">
      <c r="A39" s="54"/>
      <c r="B39" s="52"/>
      <c r="C39" s="52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</row>
    <row r="40" spans="1:21" x14ac:dyDescent="0.25">
      <c r="A40" s="54"/>
      <c r="B40" s="52"/>
      <c r="C40" s="52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</row>
    <row r="41" spans="1:21" x14ac:dyDescent="0.25">
      <c r="A41" s="54"/>
      <c r="B41" s="52"/>
      <c r="C41" s="52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</row>
    <row r="42" spans="1:21" x14ac:dyDescent="0.25">
      <c r="A42" s="54"/>
      <c r="B42" s="52"/>
      <c r="C42" s="52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</row>
    <row r="43" spans="1:21" x14ac:dyDescent="0.25">
      <c r="A43" s="54"/>
      <c r="B43" s="52"/>
      <c r="C43" s="52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</row>
    <row r="44" spans="1:21" x14ac:dyDescent="0.25">
      <c r="A44" s="54"/>
      <c r="B44" s="52"/>
      <c r="C44" s="52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</row>
    <row r="45" spans="1:21" x14ac:dyDescent="0.25">
      <c r="A45" s="54"/>
      <c r="B45" s="52"/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</row>
    <row r="46" spans="1:21" x14ac:dyDescent="0.25">
      <c r="A46" s="54"/>
      <c r="B46" s="52"/>
      <c r="C46" s="52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</row>
    <row r="47" spans="1:21" x14ac:dyDescent="0.25">
      <c r="A47" s="54"/>
      <c r="B47" s="52"/>
      <c r="C47" s="52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</row>
    <row r="48" spans="1:21" x14ac:dyDescent="0.25">
      <c r="A48" s="54"/>
      <c r="B48" s="52"/>
      <c r="C48" s="52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</row>
    <row r="49" spans="1:21" x14ac:dyDescent="0.25">
      <c r="A49" s="54"/>
      <c r="B49" s="52"/>
      <c r="C49" s="52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</row>
    <row r="50" spans="1:21" x14ac:dyDescent="0.25">
      <c r="A50" s="54"/>
      <c r="B50" s="52"/>
      <c r="C50" s="52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</row>
    <row r="51" spans="1:21" x14ac:dyDescent="0.25">
      <c r="A51" s="54"/>
      <c r="B51" s="52"/>
      <c r="C51" s="52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</row>
    <row r="52" spans="1:21" x14ac:dyDescent="0.25">
      <c r="A52" s="54"/>
      <c r="B52" s="52"/>
      <c r="C52" s="52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</row>
    <row r="53" spans="1:21" x14ac:dyDescent="0.25">
      <c r="A53" s="54"/>
      <c r="B53" s="52"/>
      <c r="C53" s="52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</row>
    <row r="54" spans="1:21" x14ac:dyDescent="0.25">
      <c r="A54" s="54"/>
      <c r="B54" s="52"/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</row>
    <row r="55" spans="1:21" x14ac:dyDescent="0.25">
      <c r="A55" s="54"/>
      <c r="B55" s="52"/>
      <c r="C55" s="52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</row>
    <row r="56" spans="1:21" x14ac:dyDescent="0.25">
      <c r="A56" s="54"/>
      <c r="B56" s="52"/>
      <c r="C56" s="52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</row>
    <row r="57" spans="1:21" x14ac:dyDescent="0.25">
      <c r="A57" s="54"/>
      <c r="B57" s="52"/>
      <c r="C57" s="52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</row>
    <row r="58" spans="1:21" x14ac:dyDescent="0.25">
      <c r="A58" s="54"/>
      <c r="B58" s="52"/>
      <c r="C58" s="52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</row>
    <row r="59" spans="1:21" x14ac:dyDescent="0.25">
      <c r="A59" s="54"/>
      <c r="B59" s="52"/>
      <c r="C59" s="52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</row>
    <row r="60" spans="1:21" x14ac:dyDescent="0.25">
      <c r="A60" s="54"/>
      <c r="B60" s="52"/>
      <c r="C60" s="52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</row>
    <row r="61" spans="1:21" x14ac:dyDescent="0.25">
      <c r="A61" s="54"/>
      <c r="B61" s="52"/>
      <c r="C61" s="52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</row>
    <row r="62" spans="1:21" x14ac:dyDescent="0.25">
      <c r="A62" s="54"/>
      <c r="B62" s="52"/>
      <c r="C62" s="52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</row>
    <row r="63" spans="1:21" x14ac:dyDescent="0.25">
      <c r="A63" s="54"/>
      <c r="B63" s="52"/>
      <c r="C63" s="5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</row>
    <row r="64" spans="1:21" x14ac:dyDescent="0.25">
      <c r="A64" s="54"/>
      <c r="B64" s="52"/>
      <c r="C64" s="52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</row>
    <row r="65" spans="1:21" x14ac:dyDescent="0.25">
      <c r="A65" s="54"/>
      <c r="B65" s="52"/>
      <c r="C65" s="52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</row>
    <row r="66" spans="1:21" x14ac:dyDescent="0.25">
      <c r="A66" s="54"/>
      <c r="B66" s="52"/>
      <c r="C66" s="52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</row>
    <row r="67" spans="1:21" x14ac:dyDescent="0.25">
      <c r="A67" s="54"/>
      <c r="B67" s="52"/>
      <c r="C67" s="52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</row>
    <row r="68" spans="1:21" x14ac:dyDescent="0.25">
      <c r="A68" s="54"/>
      <c r="B68" s="52"/>
      <c r="C68" s="52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</row>
    <row r="69" spans="1:21" x14ac:dyDescent="0.25">
      <c r="A69" s="54"/>
      <c r="B69" s="52"/>
      <c r="C69" s="52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</row>
    <row r="70" spans="1:21" x14ac:dyDescent="0.25">
      <c r="A70" s="54"/>
      <c r="B70" s="52"/>
      <c r="C70" s="52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</row>
    <row r="71" spans="1:21" x14ac:dyDescent="0.25">
      <c r="A71" s="54"/>
      <c r="B71" s="52"/>
      <c r="C71" s="5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</row>
    <row r="72" spans="1:2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</row>
    <row r="73" spans="1:21" x14ac:dyDescent="0.25">
      <c r="A73" s="56" t="s">
        <v>235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</row>
    <row r="74" spans="1:2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</row>
    <row r="75" spans="1:2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</row>
    <row r="76" spans="1:2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</row>
    <row r="77" spans="1:2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</row>
    <row r="78" spans="1:2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</row>
    <row r="79" spans="1:2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</row>
    <row r="80" spans="1:2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</row>
    <row r="81" spans="1:2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</row>
    <row r="82" spans="1:2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</row>
    <row r="83" spans="1:2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</row>
    <row r="84" spans="1:2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</row>
    <row r="85" spans="1:2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</row>
    <row r="86" spans="1:2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</row>
    <row r="87" spans="1:2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</row>
    <row r="88" spans="1:2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</row>
    <row r="89" spans="1:2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</row>
    <row r="90" spans="1:2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</row>
    <row r="91" spans="1:2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</row>
    <row r="92" spans="1:2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</row>
    <row r="93" spans="1:2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</row>
    <row r="94" spans="1:2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</row>
    <row r="95" spans="1:2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</row>
    <row r="96" spans="1:2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 spans="1:2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 spans="1:2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 spans="1:2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 spans="1:2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</row>
    <row r="101" spans="1:2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</row>
    <row r="102" spans="1:2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</row>
    <row r="103" spans="1:2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</row>
    <row r="104" spans="1:2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spans="1:2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</row>
    <row r="106" spans="1:2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</row>
    <row r="107" spans="1:2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</row>
    <row r="108" spans="1:2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</row>
    <row r="109" spans="1:2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</row>
    <row r="110" spans="1:2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</row>
    <row r="111" spans="1:2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</row>
    <row r="112" spans="1:2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</row>
    <row r="113" spans="1:2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4" spans="1:2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</row>
    <row r="115" spans="1:2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</row>
    <row r="116" spans="1:2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</row>
    <row r="117" spans="1:2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</row>
    <row r="118" spans="1:2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</row>
    <row r="119" spans="1:2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</row>
    <row r="120" spans="1:2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</row>
    <row r="121" spans="1:2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  <row r="122" spans="1:2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</row>
    <row r="123" spans="1:2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</row>
    <row r="124" spans="1:2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</row>
    <row r="125" spans="1:2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</row>
    <row r="126" spans="1:2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</row>
    <row r="127" spans="1:2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</row>
    <row r="128" spans="1:2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</row>
    <row r="129" spans="1:2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</row>
    <row r="130" spans="1:2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</row>
    <row r="131" spans="1:2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</row>
    <row r="132" spans="1:2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</row>
    <row r="133" spans="1:2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</row>
    <row r="134" spans="1:2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</row>
    <row r="135" spans="1:2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</row>
    <row r="136" spans="1:2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</row>
    <row r="137" spans="1:2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</row>
    <row r="138" spans="1:2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</row>
    <row r="139" spans="1:2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</row>
    <row r="140" spans="1:2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</row>
    <row r="141" spans="1:2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</row>
    <row r="142" spans="1:2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</row>
    <row r="143" spans="1:2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</row>
    <row r="144" spans="1:2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</row>
    <row r="145" spans="1:2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</row>
    <row r="146" spans="1:2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</row>
    <row r="147" spans="1:2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</row>
    <row r="148" spans="1:2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</row>
    <row r="149" spans="1:2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</row>
    <row r="150" spans="1:2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</row>
    <row r="151" spans="1:2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</row>
    <row r="152" spans="1:2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</row>
    <row r="153" spans="1:2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</row>
    <row r="154" spans="1:2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</row>
    <row r="155" spans="1:2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</row>
    <row r="156" spans="1:2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</row>
    <row r="157" spans="1:2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</row>
    <row r="158" spans="1:2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</row>
    <row r="159" spans="1:2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</row>
    <row r="160" spans="1:2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</row>
    <row r="161" spans="1:2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</row>
    <row r="162" spans="1:2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</row>
    <row r="163" spans="1:2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</row>
    <row r="164" spans="1:2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</row>
    <row r="165" spans="1:2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</row>
    <row r="166" spans="1:2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</row>
    <row r="167" spans="1:2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</row>
    <row r="168" spans="1:2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</row>
    <row r="169" spans="1:2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</row>
    <row r="170" spans="1:2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</row>
    <row r="171" spans="1:2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</row>
    <row r="172" spans="1:2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</row>
    <row r="173" spans="1:2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</row>
    <row r="174" spans="1:2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</row>
    <row r="175" spans="1:2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</row>
    <row r="176" spans="1:2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</row>
    <row r="177" spans="1:2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</row>
    <row r="178" spans="1:2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</row>
    <row r="179" spans="1:2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</row>
    <row r="180" spans="1:2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</row>
    <row r="181" spans="1:2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</row>
    <row r="182" spans="1:2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</row>
    <row r="183" spans="1:2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</row>
    <row r="184" spans="1:2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</row>
    <row r="185" spans="1:2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</row>
    <row r="186" spans="1:2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</row>
    <row r="187" spans="1:2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</row>
    <row r="188" spans="1:2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</row>
    <row r="189" spans="1:2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</row>
    <row r="190" spans="1:2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</row>
    <row r="191" spans="1:2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</row>
    <row r="192" spans="1:2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</row>
    <row r="193" spans="1:2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</row>
    <row r="194" spans="1:2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</row>
    <row r="195" spans="1:2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</row>
    <row r="196" spans="1:2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</row>
    <row r="197" spans="1:2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</row>
    <row r="198" spans="1:2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</row>
    <row r="199" spans="1:2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</row>
    <row r="200" spans="1:2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</row>
    <row r="201" spans="1:2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</row>
    <row r="202" spans="1:2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</row>
    <row r="203" spans="1:2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</row>
    <row r="204" spans="1:2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</row>
    <row r="205" spans="1:2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</row>
    <row r="206" spans="1:2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</row>
    <row r="207" spans="1:2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</row>
    <row r="208" spans="1:2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</row>
    <row r="209" spans="1:2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</row>
    <row r="210" spans="1:2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</row>
    <row r="211" spans="1:2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</row>
    <row r="212" spans="1:2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</row>
    <row r="213" spans="1:2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</row>
    <row r="214" spans="1:2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</row>
    <row r="215" spans="1:2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</row>
    <row r="216" spans="1:2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</row>
    <row r="217" spans="1:2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</row>
    <row r="218" spans="1:2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</row>
    <row r="219" spans="1:2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</row>
    <row r="220" spans="1:2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</row>
    <row r="221" spans="1:2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</row>
    <row r="222" spans="1:2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</row>
    <row r="223" spans="1:21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</row>
    <row r="224" spans="1:21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</row>
    <row r="225" spans="1:21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</row>
    <row r="226" spans="1:21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</row>
    <row r="227" spans="1:21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</row>
    <row r="228" spans="1:21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</row>
    <row r="229" spans="1:21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</row>
    <row r="230" spans="1:21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</row>
    <row r="231" spans="1:21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</row>
    <row r="232" spans="1:21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</row>
    <row r="233" spans="1:21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</row>
    <row r="234" spans="1:21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</row>
    <row r="235" spans="1:21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</row>
    <row r="236" spans="1:21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</row>
    <row r="237" spans="1:21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</row>
    <row r="238" spans="1:21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</row>
    <row r="239" spans="1:21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</row>
    <row r="240" spans="1:21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</row>
    <row r="241" spans="1:21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</row>
    <row r="242" spans="1:21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</row>
    <row r="243" spans="1:21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</row>
    <row r="244" spans="1:21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</row>
    <row r="245" spans="1:21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</row>
    <row r="246" spans="1:21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</row>
    <row r="247" spans="1:21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</row>
    <row r="248" spans="1:21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</row>
    <row r="249" spans="1:21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</row>
    <row r="250" spans="1:21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</row>
    <row r="251" spans="1:21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</row>
    <row r="252" spans="1:21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</row>
    <row r="253" spans="1:21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</row>
    <row r="254" spans="1:21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</row>
    <row r="255" spans="1:21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</row>
    <row r="256" spans="1:21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</row>
    <row r="257" spans="1:21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</row>
    <row r="258" spans="1:21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</row>
    <row r="259" spans="1:21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</row>
    <row r="260" spans="1:21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</row>
    <row r="261" spans="1:21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</row>
    <row r="262" spans="1:21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</row>
    <row r="263" spans="1:21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</row>
    <row r="264" spans="1:21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</row>
    <row r="265" spans="1:21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</row>
    <row r="266" spans="1:21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</row>
    <row r="267" spans="1:21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</row>
    <row r="268" spans="1:21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</row>
    <row r="269" spans="1:21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</row>
    <row r="270" spans="1:21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</row>
    <row r="271" spans="1:21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</row>
    <row r="272" spans="1:21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</row>
    <row r="273" spans="1:21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</row>
    <row r="274" spans="1:21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</row>
    <row r="275" spans="1:21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</row>
    <row r="276" spans="1:21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</row>
    <row r="277" spans="1:21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</row>
    <row r="278" spans="1:21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</row>
    <row r="279" spans="1:21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</row>
    <row r="280" spans="1:21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</row>
    <row r="281" spans="1:21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</row>
    <row r="282" spans="1:21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</row>
    <row r="283" spans="1:21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</row>
    <row r="284" spans="1:21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</row>
    <row r="285" spans="1:21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</row>
    <row r="286" spans="1:21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</row>
    <row r="287" spans="1:21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</row>
    <row r="288" spans="1:21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</row>
    <row r="289" spans="1:21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</row>
    <row r="290" spans="1:21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</row>
    <row r="291" spans="1:21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</row>
    <row r="292" spans="1:21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</row>
    <row r="293" spans="1:21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</row>
    <row r="294" spans="1:21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</row>
    <row r="295" spans="1:21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</row>
    <row r="296" spans="1:21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</row>
    <row r="297" spans="1:21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</row>
    <row r="298" spans="1:21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</row>
    <row r="299" spans="1:21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</row>
    <row r="300" spans="1:21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</row>
    <row r="301" spans="1:21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</row>
    <row r="302" spans="1:21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</row>
    <row r="303" spans="1:21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</row>
    <row r="304" spans="1:21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</row>
    <row r="305" spans="1:21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</row>
    <row r="306" spans="1:21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</row>
    <row r="307" spans="1:21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</row>
    <row r="308" spans="1:21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</row>
    <row r="309" spans="1:21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</row>
    <row r="310" spans="1:21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</row>
    <row r="311" spans="1:21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</row>
    <row r="312" spans="1:21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</row>
    <row r="313" spans="1:21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</row>
    <row r="314" spans="1:21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</row>
    <row r="315" spans="1:21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</row>
    <row r="316" spans="1:21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</row>
    <row r="317" spans="1:21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</row>
    <row r="318" spans="1:21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</row>
    <row r="319" spans="1:21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</row>
    <row r="320" spans="1:21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</row>
    <row r="321" spans="1:21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</row>
    <row r="322" spans="1:21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</row>
    <row r="323" spans="1:21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</row>
    <row r="324" spans="1:21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</row>
    <row r="325" spans="1:21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</row>
    <row r="326" spans="1:21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</row>
    <row r="327" spans="1:21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</row>
    <row r="328" spans="1:21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</row>
    <row r="329" spans="1:21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</row>
    <row r="330" spans="1:21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</row>
    <row r="331" spans="1:21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</row>
    <row r="332" spans="1:21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</row>
    <row r="333" spans="1:21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</row>
    <row r="334" spans="1:21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</row>
    <row r="335" spans="1:21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</row>
    <row r="336" spans="1:21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</row>
    <row r="337" spans="1:21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</row>
    <row r="338" spans="1:21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</row>
    <row r="339" spans="1:21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</row>
    <row r="340" spans="1:21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</row>
    <row r="341" spans="1:21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</row>
    <row r="342" spans="1:21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</row>
    <row r="343" spans="1:21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</row>
    <row r="344" spans="1:21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</row>
    <row r="345" spans="1:21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</row>
    <row r="346" spans="1:21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</row>
    <row r="347" spans="1:21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</row>
    <row r="348" spans="1:21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</row>
    <row r="349" spans="1:21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</row>
    <row r="350" spans="1:21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</row>
    <row r="351" spans="1:21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</row>
    <row r="352" spans="1:21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</row>
    <row r="353" spans="1:21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</row>
    <row r="354" spans="1:21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</row>
    <row r="355" spans="1:21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</row>
    <row r="356" spans="1:21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</row>
    <row r="357" spans="1:21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</row>
    <row r="358" spans="1:21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</row>
    <row r="359" spans="1:21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</row>
    <row r="360" spans="1:21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</row>
    <row r="361" spans="1:21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</row>
    <row r="362" spans="1:21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</row>
    <row r="363" spans="1:21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</row>
    <row r="364" spans="1:21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</row>
    <row r="365" spans="1:21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</row>
    <row r="366" spans="1:21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</row>
    <row r="367" spans="1:21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</row>
    <row r="368" spans="1:21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</row>
    <row r="369" spans="1:21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</row>
    <row r="370" spans="1:21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</row>
    <row r="371" spans="1:21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</row>
    <row r="372" spans="1:21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</row>
    <row r="373" spans="1:21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</row>
    <row r="374" spans="1:21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</row>
    <row r="375" spans="1:21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</row>
    <row r="376" spans="1:21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</row>
    <row r="377" spans="1:21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</row>
    <row r="378" spans="1:21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</row>
    <row r="379" spans="1:21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</row>
    <row r="380" spans="1:21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</row>
    <row r="381" spans="1:21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</row>
    <row r="382" spans="1:21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</row>
    <row r="383" spans="1:21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</row>
    <row r="384" spans="1:21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</row>
    <row r="385" spans="1:21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</row>
    <row r="386" spans="1:21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</row>
    <row r="387" spans="1:21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</row>
    <row r="388" spans="1:21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</row>
    <row r="389" spans="1:21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</row>
    <row r="390" spans="1:21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</row>
    <row r="391" spans="1:21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</row>
    <row r="392" spans="1:21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</row>
    <row r="393" spans="1:21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</row>
    <row r="394" spans="1:21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</row>
    <row r="395" spans="1:21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</row>
    <row r="396" spans="1:21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</row>
    <row r="397" spans="1:21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</row>
    <row r="398" spans="1:21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</row>
    <row r="399" spans="1:21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</row>
    <row r="400" spans="1:21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</row>
    <row r="401" spans="1:21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</row>
    <row r="402" spans="1:21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</row>
    <row r="403" spans="1:21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</row>
    <row r="404" spans="1:21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</row>
    <row r="405" spans="1:21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</row>
    <row r="406" spans="1:21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</row>
    <row r="407" spans="1:21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</row>
    <row r="408" spans="1:21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</row>
    <row r="409" spans="1:21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</row>
    <row r="410" spans="1:21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</row>
    <row r="411" spans="1:21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</row>
    <row r="412" spans="1:21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</row>
    <row r="413" spans="1:21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</row>
    <row r="414" spans="1:21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</row>
    <row r="415" spans="1:21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</row>
    <row r="416" spans="1:21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</row>
    <row r="417" spans="1:21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</row>
    <row r="418" spans="1:21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</row>
    <row r="419" spans="1:21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</row>
    <row r="420" spans="1:21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</row>
    <row r="421" spans="1:21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</row>
    <row r="422" spans="1:21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</row>
    <row r="423" spans="1:21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</row>
    <row r="424" spans="1:21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</row>
    <row r="425" spans="1:21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</row>
    <row r="426" spans="1:21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</row>
    <row r="427" spans="1:21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</row>
    <row r="428" spans="1:21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</row>
    <row r="429" spans="1:21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</row>
    <row r="430" spans="1:21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</row>
    <row r="431" spans="1:21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</row>
    <row r="432" spans="1:21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</row>
    <row r="433" spans="1:21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</row>
    <row r="434" spans="1:21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</row>
    <row r="435" spans="1:21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</row>
    <row r="436" spans="1:21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</row>
    <row r="437" spans="1:21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</row>
    <row r="438" spans="1:21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</row>
    <row r="439" spans="1:21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</row>
    <row r="440" spans="1:21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</row>
    <row r="441" spans="1:21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</row>
    <row r="442" spans="1:21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</row>
    <row r="443" spans="1:21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</row>
    <row r="444" spans="1:21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</row>
    <row r="445" spans="1:21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</row>
    <row r="446" spans="1:21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</row>
    <row r="447" spans="1:21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</row>
    <row r="448" spans="1:21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</row>
    <row r="449" spans="1:21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</row>
    <row r="450" spans="1:21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</row>
    <row r="451" spans="1:21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</row>
    <row r="452" spans="1:21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</row>
    <row r="453" spans="1:21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</row>
    <row r="454" spans="1:21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</row>
    <row r="455" spans="1:21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</row>
    <row r="456" spans="1:21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</row>
    <row r="457" spans="1:21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</row>
    <row r="458" spans="1:21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</row>
    <row r="459" spans="1:21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</row>
    <row r="460" spans="1:21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</row>
    <row r="461" spans="1:21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</row>
    <row r="462" spans="1:21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</row>
    <row r="463" spans="1:21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</row>
    <row r="464" spans="1:21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</row>
    <row r="465" spans="1:21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</row>
    <row r="466" spans="1:21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</row>
    <row r="467" spans="1:21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</row>
    <row r="468" spans="1:21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</row>
    <row r="469" spans="1:21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</row>
    <row r="470" spans="1:21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</row>
    <row r="471" spans="1:21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</row>
    <row r="472" spans="1:21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</row>
    <row r="473" spans="1:21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</row>
    <row r="474" spans="1:21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</row>
    <row r="475" spans="1:21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</row>
    <row r="476" spans="1:21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</row>
    <row r="477" spans="1:21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</row>
    <row r="478" spans="1:21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</row>
    <row r="479" spans="1:21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</row>
    <row r="480" spans="1:21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</row>
    <row r="481" spans="1:21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</row>
    <row r="482" spans="1:21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</row>
    <row r="483" spans="1:21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</row>
    <row r="484" spans="1:21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</row>
    <row r="485" spans="1:21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</row>
    <row r="486" spans="1:21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</row>
    <row r="487" spans="1:21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</row>
    <row r="488" spans="1:21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</row>
    <row r="489" spans="1:21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</row>
    <row r="490" spans="1:21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</row>
    <row r="491" spans="1:21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</row>
    <row r="492" spans="1:21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</row>
    <row r="493" spans="1:21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</row>
    <row r="494" spans="1:21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</row>
    <row r="495" spans="1:21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</row>
    <row r="496" spans="1:21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</row>
    <row r="497" spans="1:21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</row>
    <row r="498" spans="1:21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</row>
    <row r="499" spans="1:21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</row>
    <row r="500" spans="1:21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Tote Count Entry</vt:lpstr>
      <vt:lpstr>Quick View</vt:lpstr>
      <vt:lpstr>Building Overview</vt:lpstr>
      <vt:lpstr>Demand Calculator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Gruppi, Hayden</dc:creator>
  <cp:lastModifiedBy>Gruppi, Hayden</cp:lastModifiedBy>
  <dcterms:created xsi:type="dcterms:W3CDTF">2026-09-08T22:29:45Z</dcterms:created>
  <dcterms:modified xsi:type="dcterms:W3CDTF">2026-09-27T15:15:13Z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2026-09-08T22:33:19Z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c129d125-65ef-456c-a61b-43aba504cd7d</vt:lpwstr>
  </property>
  <property fmtid="{D5CDD505-2E9C-101B-9397-08002B2CF9AE}" pid="8" name="MSIP_Label_19e68092-05df-4271-8e3e-b2a4c82ba797_ContentBits">
    <vt:lpwstr>0</vt:lpwstr>
  </property>
</Properties>
</file>